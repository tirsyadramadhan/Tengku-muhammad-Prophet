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yad &amp; Zaki\Downloads\"/>
    </mc:Choice>
  </mc:AlternateContent>
  <xr:revisionPtr revIDLastSave="0" documentId="8_{C51A8932-0253-479E-B782-39EB88D08535}" xr6:coauthVersionLast="47" xr6:coauthVersionMax="47" xr10:uidLastSave="{00000000-0000-0000-0000-000000000000}"/>
  <bookViews>
    <workbookView xWindow="-120" yWindow="-120" windowWidth="24240" windowHeight="13140" tabRatio="888" firstSheet="2" activeTab="2" xr2:uid="{77A85E82-D8F6-4D70-9B3E-9548D31FE4F7}"/>
  </bookViews>
  <sheets>
    <sheet name="Summary (2)" sheetId="4" state="hidden" r:id="rId1"/>
    <sheet name="Asumsi Summary V.4 (3)" sheetId="16" state="hidden" r:id="rId2"/>
    <sheet name="Summary V.4 (6)" sheetId="24" r:id="rId3"/>
    <sheet name="Summary V.4 (5)" sheetId="23" r:id="rId4"/>
    <sheet name="Summary V.4 (4)" sheetId="22" state="hidden" r:id="rId5"/>
    <sheet name="Summary V.4 (PO833)" sheetId="20" state="hidden" r:id="rId6"/>
    <sheet name="Sheet2" sheetId="21" state="hidden" r:id="rId7"/>
    <sheet name="Summary V.4 (2) 2  (2)" sheetId="19" state="hidden" r:id="rId8"/>
    <sheet name="Summary V.4 (2) 2 " sheetId="17" state="hidden" r:id="rId9"/>
    <sheet name="Summary V.4 (2)" sheetId="15" state="hidden" r:id="rId10"/>
    <sheet name="Summary V.4" sheetId="13" state="hidden" r:id="rId11"/>
    <sheet name="Summary V.2 (2)" sheetId="12" state="hidden" r:id="rId12"/>
    <sheet name="Summary V.3" sheetId="11" state="hidden" r:id="rId13"/>
    <sheet name="Summary V.2" sheetId="6" state="hidden" r:id="rId14"/>
    <sheet name="Summary V.1" sheetId="2" state="hidden" r:id="rId15"/>
    <sheet name="Modal Des" sheetId="18" r:id="rId16"/>
    <sheet name="investasi" sheetId="5" r:id="rId17"/>
    <sheet name="Pivot v.1" sheetId="7" state="hidden" r:id="rId18"/>
    <sheet name="Sheet1" sheetId="3" state="hidden" r:id="rId19"/>
    <sheet name="Detail" sheetId="1" state="hidden" r:id="rId20"/>
  </sheets>
  <definedNames>
    <definedName name="_xlnm._FilterDatabase" localSheetId="1" hidden="1">'Asumsi Summary V.4 (3)'!$A$10:$AD$27</definedName>
    <definedName name="_xlnm._FilterDatabase" localSheetId="0" hidden="1">'Summary (2)'!$A$8:$AD$25</definedName>
    <definedName name="_xlnm._FilterDatabase" localSheetId="14" hidden="1">'Summary V.1'!$A$10:$AD$27</definedName>
    <definedName name="_xlnm._FilterDatabase" localSheetId="13" hidden="1">'Summary V.2'!$A$10:$AD$27</definedName>
    <definedName name="_xlnm._FilterDatabase" localSheetId="11" hidden="1">'Summary V.2 (2)'!$A$10:$AD$27</definedName>
    <definedName name="_xlnm._FilterDatabase" localSheetId="12" hidden="1">'Summary V.3'!$A$10:$AD$27</definedName>
    <definedName name="_xlnm._FilterDatabase" localSheetId="10" hidden="1">'Summary V.4'!$A$10:$AD$27</definedName>
    <definedName name="_xlnm._FilterDatabase" localSheetId="9" hidden="1">'Summary V.4 (2)'!$A$10:$AD$27</definedName>
    <definedName name="_xlnm._FilterDatabase" localSheetId="8" hidden="1">'Summary V.4 (2) 2 '!$A$10:$AE$27</definedName>
    <definedName name="_xlnm._FilterDatabase" localSheetId="7" hidden="1">'Summary V.4 (2) 2  (2)'!$A$10:$AF$43</definedName>
    <definedName name="_xlnm._FilterDatabase" localSheetId="4" hidden="1">'Summary V.4 (4)'!$A$10:$AH$49</definedName>
    <definedName name="_xlnm._FilterDatabase" localSheetId="3" hidden="1">'Summary V.4 (5)'!$A$10:$AJ$45</definedName>
    <definedName name="_xlnm._FilterDatabase" localSheetId="2" hidden="1">'Summary V.4 (6)'!$A$10:$AJ$45</definedName>
    <definedName name="_xlnm._FilterDatabase" localSheetId="5" hidden="1">'Summary V.4 (PO833)'!$A$10:$AH$50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24" l="1"/>
  <c r="C66" i="24"/>
  <c r="J74" i="24"/>
  <c r="P94" i="24"/>
  <c r="K95" i="24"/>
  <c r="L95" i="24"/>
  <c r="M95" i="24" s="1"/>
  <c r="J96" i="24"/>
  <c r="K96" i="24" s="1"/>
  <c r="L96" i="24" s="1"/>
  <c r="N96" i="24" s="1"/>
  <c r="K97" i="24"/>
  <c r="L97" i="24" s="1"/>
  <c r="M97" i="24" s="1"/>
  <c r="N97" i="24" s="1"/>
  <c r="K98" i="24"/>
  <c r="L98" i="24" s="1"/>
  <c r="M98" i="24" s="1"/>
  <c r="N98" i="24" s="1"/>
  <c r="K99" i="24"/>
  <c r="L99" i="24" s="1"/>
  <c r="K100" i="24"/>
  <c r="L100" i="24"/>
  <c r="N100" i="24" s="1"/>
  <c r="AB99" i="24" s="1"/>
  <c r="M77" i="24"/>
  <c r="K53" i="24"/>
  <c r="L53" i="24" s="1"/>
  <c r="K52" i="24"/>
  <c r="L52" i="24" s="1"/>
  <c r="K51" i="24"/>
  <c r="L51" i="24" s="1"/>
  <c r="K45" i="24"/>
  <c r="L45" i="24" s="1"/>
  <c r="M100" i="24" l="1"/>
  <c r="P98" i="24"/>
  <c r="AB97" i="24"/>
  <c r="AB96" i="24"/>
  <c r="P97" i="24"/>
  <c r="M99" i="24"/>
  <c r="N99" i="24"/>
  <c r="P96" i="24"/>
  <c r="AB95" i="24"/>
  <c r="M96" i="24"/>
  <c r="N95" i="24"/>
  <c r="M53" i="24"/>
  <c r="N53" i="24"/>
  <c r="P53" i="24" s="1"/>
  <c r="AC53" i="24"/>
  <c r="AC51" i="24"/>
  <c r="N51" i="24"/>
  <c r="M51" i="24"/>
  <c r="M52" i="24"/>
  <c r="N52" i="24"/>
  <c r="AC52" i="24"/>
  <c r="M45" i="24"/>
  <c r="AC45" i="24"/>
  <c r="N45" i="24"/>
  <c r="P45" i="24" s="1"/>
  <c r="AB98" i="24" l="1"/>
  <c r="P99" i="24"/>
  <c r="AB94" i="24"/>
  <c r="P95" i="24"/>
  <c r="AB52" i="24"/>
  <c r="P52" i="24"/>
  <c r="AB51" i="24"/>
  <c r="P51" i="24"/>
  <c r="AA28" i="24"/>
  <c r="K50" i="24"/>
  <c r="L50" i="24" s="1"/>
  <c r="N50" i="24" s="1"/>
  <c r="K49" i="24"/>
  <c r="L49" i="24" s="1"/>
  <c r="AC49" i="24" s="1"/>
  <c r="K48" i="24"/>
  <c r="L48" i="24" s="1"/>
  <c r="M48" i="24" s="1"/>
  <c r="N48" i="24" s="1"/>
  <c r="K47" i="24"/>
  <c r="L47" i="24" s="1"/>
  <c r="M47" i="24" s="1"/>
  <c r="N47" i="24" s="1"/>
  <c r="J46" i="24"/>
  <c r="K46" i="24" s="1"/>
  <c r="L46" i="24" s="1"/>
  <c r="AC46" i="24" s="1"/>
  <c r="M82" i="24"/>
  <c r="I82" i="24"/>
  <c r="L77" i="24"/>
  <c r="O57" i="24"/>
  <c r="L44" i="24"/>
  <c r="N44" i="24" s="1"/>
  <c r="AG43" i="24"/>
  <c r="V43" i="24"/>
  <c r="Y43" i="24" s="1"/>
  <c r="Z43" i="24" s="1"/>
  <c r="K43" i="24"/>
  <c r="L43" i="24" s="1"/>
  <c r="AG42" i="24"/>
  <c r="V42" i="24"/>
  <c r="Y42" i="24" s="1"/>
  <c r="Z42" i="24" s="1"/>
  <c r="K42" i="24"/>
  <c r="L42" i="24" s="1"/>
  <c r="AG41" i="24"/>
  <c r="V41" i="24"/>
  <c r="Y41" i="24" s="1"/>
  <c r="Z41" i="24" s="1"/>
  <c r="K41" i="24"/>
  <c r="L41" i="24" s="1"/>
  <c r="AG40" i="24"/>
  <c r="V40" i="24"/>
  <c r="Y40" i="24" s="1"/>
  <c r="Z40" i="24" s="1"/>
  <c r="K40" i="24"/>
  <c r="L40" i="24" s="1"/>
  <c r="AG39" i="24"/>
  <c r="V39" i="24"/>
  <c r="Y39" i="24" s="1"/>
  <c r="Z39" i="24" s="1"/>
  <c r="K39" i="24"/>
  <c r="L39" i="24" s="1"/>
  <c r="N39" i="24" s="1"/>
  <c r="P39" i="24" s="1"/>
  <c r="AA39" i="24" s="1"/>
  <c r="AG38" i="24"/>
  <c r="W38" i="24"/>
  <c r="Y38" i="24" s="1"/>
  <c r="Z38" i="24" s="1"/>
  <c r="K38" i="24"/>
  <c r="L38" i="24" s="1"/>
  <c r="AG37" i="24"/>
  <c r="W37" i="24"/>
  <c r="Y37" i="24" s="1"/>
  <c r="Z37" i="24" s="1"/>
  <c r="K37" i="24"/>
  <c r="L37" i="24" s="1"/>
  <c r="AF36" i="24"/>
  <c r="Y36" i="24"/>
  <c r="N36" i="24"/>
  <c r="P36" i="24" s="1"/>
  <c r="AA36" i="24" s="1"/>
  <c r="K36" i="24"/>
  <c r="L36" i="24" s="1"/>
  <c r="AF35" i="24"/>
  <c r="Y35" i="24"/>
  <c r="K35" i="24"/>
  <c r="L35" i="24" s="1"/>
  <c r="AF34" i="24"/>
  <c r="Y34" i="24"/>
  <c r="Z34" i="24" s="1"/>
  <c r="K34" i="24"/>
  <c r="L34" i="24" s="1"/>
  <c r="A34" i="24"/>
  <c r="AF33" i="24"/>
  <c r="Y33" i="24"/>
  <c r="Z33" i="24" s="1"/>
  <c r="K33" i="24"/>
  <c r="L33" i="24" s="1"/>
  <c r="AF32" i="24"/>
  <c r="Y32" i="24"/>
  <c r="Z32" i="24" s="1"/>
  <c r="K32" i="24"/>
  <c r="L32" i="24" s="1"/>
  <c r="AF31" i="24"/>
  <c r="Y31" i="24"/>
  <c r="Z31" i="24" s="1"/>
  <c r="K31" i="24"/>
  <c r="L31" i="24" s="1"/>
  <c r="AG30" i="24"/>
  <c r="Y30" i="24"/>
  <c r="Z30" i="24" s="1"/>
  <c r="K30" i="24"/>
  <c r="L30" i="24" s="1"/>
  <c r="A30" i="24"/>
  <c r="A31" i="24" s="1"/>
  <c r="A33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G29" i="24"/>
  <c r="Y29" i="24"/>
  <c r="Z29" i="24" s="1"/>
  <c r="J29" i="24"/>
  <c r="K29" i="24" s="1"/>
  <c r="L29" i="24" s="1"/>
  <c r="C29" i="24"/>
  <c r="AK29" i="24" s="1"/>
  <c r="Y28" i="24"/>
  <c r="F28" i="24"/>
  <c r="E28" i="24"/>
  <c r="AK27" i="24"/>
  <c r="AE27" i="24"/>
  <c r="AF27" i="24" s="1"/>
  <c r="Y27" i="24"/>
  <c r="Z27" i="24" s="1"/>
  <c r="J27" i="24"/>
  <c r="K27" i="24" s="1"/>
  <c r="L27" i="24" s="1"/>
  <c r="AE26" i="24"/>
  <c r="AG26" i="24" s="1"/>
  <c r="Y26" i="24"/>
  <c r="Z26" i="24" s="1"/>
  <c r="J26" i="24"/>
  <c r="K26" i="24" s="1"/>
  <c r="L26" i="24" s="1"/>
  <c r="G26" i="24"/>
  <c r="C26" i="24"/>
  <c r="AK26" i="24" s="1"/>
  <c r="AE25" i="24"/>
  <c r="AG25" i="24" s="1"/>
  <c r="Y25" i="24"/>
  <c r="Z25" i="24" s="1"/>
  <c r="J25" i="24"/>
  <c r="K25" i="24" s="1"/>
  <c r="L25" i="24" s="1"/>
  <c r="C25" i="24"/>
  <c r="AK25" i="24" s="1"/>
  <c r="AE24" i="24"/>
  <c r="AG24" i="24" s="1"/>
  <c r="Y24" i="24"/>
  <c r="Z24" i="24" s="1"/>
  <c r="J24" i="24"/>
  <c r="K24" i="24" s="1"/>
  <c r="L24" i="24" s="1"/>
  <c r="C24" i="24"/>
  <c r="AK24" i="24" s="1"/>
  <c r="AE23" i="24"/>
  <c r="AG23" i="24" s="1"/>
  <c r="Y23" i="24"/>
  <c r="Z23" i="24" s="1"/>
  <c r="J23" i="24"/>
  <c r="K23" i="24" s="1"/>
  <c r="L23" i="24" s="1"/>
  <c r="C23" i="24"/>
  <c r="AK23" i="24" s="1"/>
  <c r="AE22" i="24"/>
  <c r="AG22" i="24" s="1"/>
  <c r="Y22" i="24"/>
  <c r="N22" i="24"/>
  <c r="K22" i="24"/>
  <c r="L22" i="24" s="1"/>
  <c r="F22" i="24" s="1"/>
  <c r="C22" i="24"/>
  <c r="AK22" i="24" s="1"/>
  <c r="B22" i="24"/>
  <c r="AK21" i="24"/>
  <c r="AE21" i="24"/>
  <c r="AG21" i="24" s="1"/>
  <c r="Y21" i="24"/>
  <c r="Z21" i="24" s="1"/>
  <c r="J21" i="24"/>
  <c r="K21" i="24" s="1"/>
  <c r="L21" i="24" s="1"/>
  <c r="B21" i="24"/>
  <c r="AK20" i="24"/>
  <c r="AE20" i="24"/>
  <c r="AF20" i="24" s="1"/>
  <c r="Y20" i="24"/>
  <c r="L20" i="24"/>
  <c r="F20" i="24" s="1"/>
  <c r="J20" i="24"/>
  <c r="H20" i="24"/>
  <c r="B20" i="24"/>
  <c r="AK19" i="24"/>
  <c r="AE19" i="24"/>
  <c r="AG19" i="24" s="1"/>
  <c r="Y19" i="24"/>
  <c r="L19" i="24"/>
  <c r="J19" i="24"/>
  <c r="H19" i="24"/>
  <c r="B19" i="24"/>
  <c r="AK18" i="24"/>
  <c r="L18" i="24"/>
  <c r="M18" i="24" s="1"/>
  <c r="J18" i="24"/>
  <c r="H18" i="24"/>
  <c r="B18" i="24"/>
  <c r="AK17" i="24"/>
  <c r="L17" i="24"/>
  <c r="N17" i="24" s="1"/>
  <c r="J17" i="24"/>
  <c r="H17" i="24"/>
  <c r="R17" i="24" s="1"/>
  <c r="Y17" i="24" s="1"/>
  <c r="Z17" i="24" s="1"/>
  <c r="B17" i="24"/>
  <c r="AK16" i="24"/>
  <c r="L16" i="24"/>
  <c r="F16" i="24" s="1"/>
  <c r="J16" i="24"/>
  <c r="H16" i="24"/>
  <c r="B16" i="24"/>
  <c r="AK15" i="24"/>
  <c r="L15" i="24"/>
  <c r="N15" i="24" s="1"/>
  <c r="J15" i="24"/>
  <c r="H15" i="24"/>
  <c r="B15" i="24"/>
  <c r="AK14" i="24"/>
  <c r="L14" i="24"/>
  <c r="F14" i="24" s="1"/>
  <c r="J14" i="24"/>
  <c r="H14" i="24"/>
  <c r="B14" i="24"/>
  <c r="AK13" i="24"/>
  <c r="L13" i="24"/>
  <c r="N13" i="24" s="1"/>
  <c r="J13" i="24"/>
  <c r="H13" i="24"/>
  <c r="B13" i="24"/>
  <c r="AK12" i="24"/>
  <c r="L12" i="24"/>
  <c r="J12" i="24"/>
  <c r="H12" i="24"/>
  <c r="B12" i="24"/>
  <c r="N10" i="24"/>
  <c r="J10" i="24"/>
  <c r="H10" i="24"/>
  <c r="N7" i="24"/>
  <c r="L7" i="24"/>
  <c r="K7" i="24"/>
  <c r="J7" i="24"/>
  <c r="H7" i="24"/>
  <c r="K84" i="23"/>
  <c r="L84" i="23" s="1"/>
  <c r="F28" i="23"/>
  <c r="E28" i="23"/>
  <c r="C56" i="23"/>
  <c r="AF34" i="23"/>
  <c r="Y34" i="23"/>
  <c r="Z34" i="23" s="1"/>
  <c r="K34" i="23"/>
  <c r="L34" i="23" s="1"/>
  <c r="F34" i="23" s="1"/>
  <c r="A34" i="23"/>
  <c r="AF32" i="23"/>
  <c r="Y32" i="23"/>
  <c r="Z32" i="23" s="1"/>
  <c r="K32" i="23"/>
  <c r="L32" i="23" s="1"/>
  <c r="AC32" i="23" s="1"/>
  <c r="N43" i="24" l="1"/>
  <c r="P43" i="24" s="1"/>
  <c r="AA43" i="24" s="1"/>
  <c r="J66" i="24"/>
  <c r="L57" i="24"/>
  <c r="K13" i="24"/>
  <c r="K20" i="24"/>
  <c r="K14" i="24"/>
  <c r="Z19" i="24"/>
  <c r="AG20" i="24"/>
  <c r="AC47" i="24"/>
  <c r="AB36" i="24"/>
  <c r="E36" i="24" s="1"/>
  <c r="AC48" i="24"/>
  <c r="K18" i="24"/>
  <c r="AC50" i="24"/>
  <c r="AB48" i="24"/>
  <c r="P48" i="24"/>
  <c r="AB45" i="24"/>
  <c r="N46" i="24"/>
  <c r="M46" i="24"/>
  <c r="N49" i="24"/>
  <c r="M49" i="24"/>
  <c r="AB50" i="24"/>
  <c r="P50" i="24"/>
  <c r="AB47" i="24"/>
  <c r="P47" i="24"/>
  <c r="M50" i="24"/>
  <c r="AC36" i="24"/>
  <c r="F36" i="24" s="1"/>
  <c r="N87" i="24"/>
  <c r="N89" i="24" s="1"/>
  <c r="AC31" i="24"/>
  <c r="M34" i="24"/>
  <c r="N34" i="24"/>
  <c r="M12" i="24"/>
  <c r="K15" i="24"/>
  <c r="K17" i="24"/>
  <c r="K19" i="24"/>
  <c r="M19" i="24"/>
  <c r="AF22" i="24"/>
  <c r="N19" i="24"/>
  <c r="P19" i="24" s="1"/>
  <c r="AA19" i="24" s="1"/>
  <c r="AF26" i="24"/>
  <c r="K16" i="24"/>
  <c r="AF25" i="24"/>
  <c r="AC44" i="24"/>
  <c r="F44" i="24" s="1"/>
  <c r="Z20" i="24"/>
  <c r="AF23" i="24"/>
  <c r="AG27" i="24"/>
  <c r="K12" i="24"/>
  <c r="F19" i="24"/>
  <c r="J64" i="24"/>
  <c r="F29" i="24"/>
  <c r="N29" i="24"/>
  <c r="M29" i="24"/>
  <c r="N21" i="24"/>
  <c r="M21" i="24"/>
  <c r="F21" i="24"/>
  <c r="P15" i="24"/>
  <c r="AA15" i="24" s="1"/>
  <c r="P13" i="24"/>
  <c r="AA13" i="24" s="1"/>
  <c r="M23" i="24"/>
  <c r="N23" i="24"/>
  <c r="J63" i="24"/>
  <c r="F23" i="24"/>
  <c r="N32" i="24"/>
  <c r="M32" i="24"/>
  <c r="AC32" i="24"/>
  <c r="F35" i="24"/>
  <c r="N35" i="24"/>
  <c r="P35" i="24" s="1"/>
  <c r="M35" i="24"/>
  <c r="AC38" i="24"/>
  <c r="F38" i="24" s="1"/>
  <c r="N38" i="24"/>
  <c r="P38" i="24" s="1"/>
  <c r="AA38" i="24" s="1"/>
  <c r="M38" i="24"/>
  <c r="AC41" i="24"/>
  <c r="F41" i="24" s="1"/>
  <c r="M41" i="24"/>
  <c r="N41" i="24"/>
  <c r="P41" i="24" s="1"/>
  <c r="AA41" i="24" s="1"/>
  <c r="P44" i="24"/>
  <c r="AA44" i="24" s="1"/>
  <c r="AB44" i="24" s="1"/>
  <c r="N26" i="24"/>
  <c r="M26" i="24"/>
  <c r="F26" i="24"/>
  <c r="N40" i="24"/>
  <c r="P40" i="24" s="1"/>
  <c r="AA40" i="24" s="1"/>
  <c r="M40" i="24"/>
  <c r="AC40" i="24"/>
  <c r="F40" i="24" s="1"/>
  <c r="F27" i="24"/>
  <c r="N27" i="24"/>
  <c r="M27" i="24"/>
  <c r="N30" i="24"/>
  <c r="M30" i="24"/>
  <c r="F30" i="24"/>
  <c r="P17" i="24"/>
  <c r="AA17" i="24" s="1"/>
  <c r="F25" i="24"/>
  <c r="M25" i="24"/>
  <c r="N25" i="24"/>
  <c r="N37" i="24"/>
  <c r="P37" i="24" s="1"/>
  <c r="AA37" i="24" s="1"/>
  <c r="M37" i="24"/>
  <c r="AC37" i="24"/>
  <c r="F37" i="24" s="1"/>
  <c r="AC42" i="24"/>
  <c r="N42" i="24"/>
  <c r="P42" i="24" s="1"/>
  <c r="AA42" i="24" s="1"/>
  <c r="M42" i="24"/>
  <c r="F42" i="24"/>
  <c r="N33" i="24"/>
  <c r="P33" i="24" s="1"/>
  <c r="AA33" i="24" s="1"/>
  <c r="AB33" i="24" s="1"/>
  <c r="M33" i="24"/>
  <c r="AC33" i="24"/>
  <c r="F33" i="24" s="1"/>
  <c r="N88" i="24"/>
  <c r="N24" i="24"/>
  <c r="M24" i="24"/>
  <c r="F24" i="24"/>
  <c r="M16" i="24"/>
  <c r="N12" i="24"/>
  <c r="F13" i="24"/>
  <c r="N14" i="24"/>
  <c r="F15" i="24"/>
  <c r="N16" i="24"/>
  <c r="F17" i="24"/>
  <c r="N18" i="24"/>
  <c r="AF24" i="24"/>
  <c r="Z36" i="24"/>
  <c r="AC39" i="24"/>
  <c r="F39" i="24" s="1"/>
  <c r="AC43" i="24"/>
  <c r="F43" i="24" s="1"/>
  <c r="AF19" i="24"/>
  <c r="M20" i="24"/>
  <c r="J65" i="24"/>
  <c r="M14" i="24"/>
  <c r="Q12" i="24"/>
  <c r="Y12" i="24" s="1"/>
  <c r="Q14" i="24"/>
  <c r="Y14" i="24" s="1"/>
  <c r="Z14" i="24" s="1"/>
  <c r="R16" i="24"/>
  <c r="Y16" i="24" s="1"/>
  <c r="Z16" i="24" s="1"/>
  <c r="R18" i="24"/>
  <c r="Y18" i="24" s="1"/>
  <c r="Z18" i="24" s="1"/>
  <c r="N20" i="24"/>
  <c r="I62" i="24"/>
  <c r="P34" i="24"/>
  <c r="AA34" i="24" s="1"/>
  <c r="AB34" i="24" s="1"/>
  <c r="I61" i="24"/>
  <c r="AF21" i="24"/>
  <c r="P22" i="24"/>
  <c r="AA22" i="24" s="1"/>
  <c r="AB22" i="24" s="1"/>
  <c r="M31" i="24"/>
  <c r="M39" i="24"/>
  <c r="AB39" i="24" s="1"/>
  <c r="E39" i="24" s="1"/>
  <c r="M43" i="24"/>
  <c r="AB43" i="24" s="1"/>
  <c r="E43" i="24" s="1"/>
  <c r="J62" i="24"/>
  <c r="C85" i="24"/>
  <c r="M13" i="24"/>
  <c r="M15" i="24"/>
  <c r="M17" i="24"/>
  <c r="N31" i="24"/>
  <c r="P31" i="24" s="1"/>
  <c r="AA31" i="24" s="1"/>
  <c r="N91" i="24"/>
  <c r="F12" i="24"/>
  <c r="F18" i="24"/>
  <c r="Z22" i="24"/>
  <c r="F34" i="24"/>
  <c r="M44" i="24"/>
  <c r="Q13" i="24"/>
  <c r="Y13" i="24" s="1"/>
  <c r="Z13" i="24" s="1"/>
  <c r="R15" i="24"/>
  <c r="Y15" i="24" s="1"/>
  <c r="Z15" i="24" s="1"/>
  <c r="N84" i="23"/>
  <c r="M84" i="23"/>
  <c r="F32" i="23"/>
  <c r="N34" i="23"/>
  <c r="M34" i="23"/>
  <c r="AA34" i="23" s="1"/>
  <c r="N32" i="23"/>
  <c r="M32" i="23"/>
  <c r="AA32" i="23" s="1"/>
  <c r="AC57" i="24" l="1"/>
  <c r="AB38" i="24"/>
  <c r="AL19" i="24"/>
  <c r="AM19" i="24" s="1"/>
  <c r="F31" i="24"/>
  <c r="AB17" i="24"/>
  <c r="AB19" i="24"/>
  <c r="E19" i="24" s="1"/>
  <c r="AB41" i="24"/>
  <c r="AB13" i="24"/>
  <c r="E13" i="24" s="1"/>
  <c r="AB42" i="24"/>
  <c r="E42" i="24" s="1"/>
  <c r="AC60" i="24"/>
  <c r="E35" i="24"/>
  <c r="AA35" i="24"/>
  <c r="AB37" i="24"/>
  <c r="M91" i="24" s="1"/>
  <c r="O89" i="24" s="1"/>
  <c r="K57" i="24"/>
  <c r="AB40" i="24"/>
  <c r="E40" i="24" s="1"/>
  <c r="E34" i="24"/>
  <c r="AB49" i="24"/>
  <c r="P49" i="24"/>
  <c r="AB46" i="24"/>
  <c r="P46" i="24"/>
  <c r="E38" i="24"/>
  <c r="P18" i="24"/>
  <c r="AA18" i="24" s="1"/>
  <c r="AB18" i="24" s="1"/>
  <c r="P30" i="24"/>
  <c r="AA30" i="24" s="1"/>
  <c r="AB30" i="24" s="1"/>
  <c r="E22" i="24"/>
  <c r="AL22" i="24"/>
  <c r="AM22" i="24" s="1"/>
  <c r="AL13" i="24"/>
  <c r="AM13" i="24" s="1"/>
  <c r="F32" i="24"/>
  <c r="AL15" i="24"/>
  <c r="AM15" i="24" s="1"/>
  <c r="P29" i="24"/>
  <c r="AA29" i="24" s="1"/>
  <c r="Z12" i="24"/>
  <c r="I77" i="24"/>
  <c r="P21" i="24"/>
  <c r="AA21" i="24" s="1"/>
  <c r="AB21" i="24"/>
  <c r="P24" i="24"/>
  <c r="AA24" i="24" s="1"/>
  <c r="AB24" i="24" s="1"/>
  <c r="P25" i="24"/>
  <c r="AA25" i="24" s="1"/>
  <c r="AB25" i="24" s="1"/>
  <c r="P27" i="24"/>
  <c r="AA27" i="24" s="1"/>
  <c r="AB27" i="24" s="1"/>
  <c r="P26" i="24"/>
  <c r="AA26" i="24" s="1"/>
  <c r="AB26" i="24" s="1"/>
  <c r="P32" i="24"/>
  <c r="AA32" i="24" s="1"/>
  <c r="AB32" i="24" s="1"/>
  <c r="M87" i="24"/>
  <c r="AB31" i="24"/>
  <c r="E31" i="24" s="1"/>
  <c r="P16" i="24"/>
  <c r="AA16" i="24" s="1"/>
  <c r="AB16" i="24" s="1"/>
  <c r="P14" i="24"/>
  <c r="AA14" i="24" s="1"/>
  <c r="J77" i="24"/>
  <c r="P12" i="24"/>
  <c r="N57" i="24"/>
  <c r="E17" i="24"/>
  <c r="AL17" i="24"/>
  <c r="AM17" i="24" s="1"/>
  <c r="AB15" i="24"/>
  <c r="E15" i="24" s="1"/>
  <c r="E44" i="24"/>
  <c r="P20" i="24"/>
  <c r="AA20" i="24" s="1"/>
  <c r="AB20" i="24" s="1"/>
  <c r="E33" i="24"/>
  <c r="N92" i="24"/>
  <c r="P23" i="24"/>
  <c r="AA23" i="24" s="1"/>
  <c r="AB23" i="24" s="1"/>
  <c r="E41" i="24"/>
  <c r="P84" i="23"/>
  <c r="AB84" i="23"/>
  <c r="AB34" i="23"/>
  <c r="P34" i="23"/>
  <c r="AB32" i="23"/>
  <c r="P32" i="23"/>
  <c r="E32" i="23" s="1"/>
  <c r="J80" i="24" l="1"/>
  <c r="I79" i="24"/>
  <c r="M88" i="24"/>
  <c r="O86" i="24" s="1"/>
  <c r="K76" i="24"/>
  <c r="K74" i="24"/>
  <c r="AB29" i="24"/>
  <c r="F57" i="24"/>
  <c r="K65" i="24"/>
  <c r="E37" i="24"/>
  <c r="C62" i="24"/>
  <c r="K62" i="24"/>
  <c r="D52" i="23"/>
  <c r="AA12" i="24"/>
  <c r="AB12" i="24" s="1"/>
  <c r="E12" i="24" s="1"/>
  <c r="P57" i="24"/>
  <c r="E30" i="24"/>
  <c r="E24" i="24"/>
  <c r="AL24" i="24"/>
  <c r="AM24" i="24" s="1"/>
  <c r="AL12" i="24"/>
  <c r="AM12" i="24" s="1"/>
  <c r="I80" i="24"/>
  <c r="C65" i="24"/>
  <c r="I81" i="24"/>
  <c r="M83" i="24"/>
  <c r="O85" i="24"/>
  <c r="O87" i="24" s="1"/>
  <c r="O90" i="24" s="1"/>
  <c r="M89" i="24"/>
  <c r="M92" i="24" s="1"/>
  <c r="AL21" i="24"/>
  <c r="AM21" i="24" s="1"/>
  <c r="E21" i="24"/>
  <c r="E32" i="24"/>
  <c r="AL14" i="24"/>
  <c r="AM14" i="24" s="1"/>
  <c r="E27" i="24"/>
  <c r="AL27" i="24"/>
  <c r="AM27" i="24" s="1"/>
  <c r="AL29" i="24"/>
  <c r="AM29" i="24" s="1"/>
  <c r="E29" i="24"/>
  <c r="I85" i="24"/>
  <c r="AL18" i="24"/>
  <c r="AM18" i="24" s="1"/>
  <c r="E18" i="24"/>
  <c r="AL23" i="24"/>
  <c r="AM23" i="24" s="1"/>
  <c r="E23" i="24"/>
  <c r="C61" i="24"/>
  <c r="M80" i="24"/>
  <c r="C84" i="24"/>
  <c r="C86" i="24" s="1"/>
  <c r="E20" i="24"/>
  <c r="AL20" i="24"/>
  <c r="AM20" i="24" s="1"/>
  <c r="AL26" i="24"/>
  <c r="AM26" i="24" s="1"/>
  <c r="E26" i="24"/>
  <c r="AB14" i="24"/>
  <c r="E14" i="24" s="1"/>
  <c r="C68" i="24"/>
  <c r="AL16" i="24"/>
  <c r="AM16" i="24" s="1"/>
  <c r="E16" i="24"/>
  <c r="E25" i="24"/>
  <c r="AL25" i="24"/>
  <c r="AM25" i="24" s="1"/>
  <c r="E34" i="23"/>
  <c r="M71" i="23"/>
  <c r="I71" i="23"/>
  <c r="M66" i="23"/>
  <c r="K66" i="23"/>
  <c r="K89" i="23"/>
  <c r="L89" i="23" s="1"/>
  <c r="K88" i="23"/>
  <c r="L88" i="23" s="1"/>
  <c r="K87" i="23"/>
  <c r="L87" i="23" s="1"/>
  <c r="M87" i="23" s="1"/>
  <c r="N87" i="23" s="1"/>
  <c r="K86" i="23"/>
  <c r="L86" i="23" s="1"/>
  <c r="M86" i="23" s="1"/>
  <c r="N86" i="23" s="1"/>
  <c r="J85" i="23"/>
  <c r="K85" i="23" s="1"/>
  <c r="L85" i="23" s="1"/>
  <c r="L44" i="23"/>
  <c r="AG43" i="23"/>
  <c r="V43" i="23"/>
  <c r="Y43" i="23" s="1"/>
  <c r="Z43" i="23" s="1"/>
  <c r="K43" i="23"/>
  <c r="L43" i="23" s="1"/>
  <c r="AG42" i="23"/>
  <c r="V42" i="23"/>
  <c r="Y42" i="23" s="1"/>
  <c r="Z42" i="23" s="1"/>
  <c r="K42" i="23"/>
  <c r="L42" i="23" s="1"/>
  <c r="AG41" i="23"/>
  <c r="V41" i="23"/>
  <c r="Y41" i="23" s="1"/>
  <c r="Z41" i="23" s="1"/>
  <c r="K41" i="23"/>
  <c r="L41" i="23" s="1"/>
  <c r="AG40" i="23"/>
  <c r="V40" i="23"/>
  <c r="Y40" i="23" s="1"/>
  <c r="Z40" i="23" s="1"/>
  <c r="K40" i="23"/>
  <c r="L40" i="23" s="1"/>
  <c r="AG39" i="23"/>
  <c r="V39" i="23"/>
  <c r="Y39" i="23" s="1"/>
  <c r="Z39" i="23" s="1"/>
  <c r="K39" i="23"/>
  <c r="L39" i="23" s="1"/>
  <c r="AG38" i="23"/>
  <c r="W38" i="23"/>
  <c r="Y38" i="23" s="1"/>
  <c r="Z38" i="23" s="1"/>
  <c r="K38" i="23"/>
  <c r="L38" i="23" s="1"/>
  <c r="AG37" i="23"/>
  <c r="W37" i="23"/>
  <c r="Y37" i="23" s="1"/>
  <c r="Z37" i="23" s="1"/>
  <c r="K37" i="23"/>
  <c r="L37" i="23" s="1"/>
  <c r="AF36" i="23"/>
  <c r="Y36" i="23"/>
  <c r="AA36" i="23" s="1"/>
  <c r="AB36" i="23" s="1"/>
  <c r="N36" i="23"/>
  <c r="K36" i="23"/>
  <c r="L36" i="23" s="1"/>
  <c r="AF35" i="23"/>
  <c r="Y35" i="23"/>
  <c r="K35" i="23"/>
  <c r="L35" i="23" s="1"/>
  <c r="F35" i="23" s="1"/>
  <c r="AF33" i="23"/>
  <c r="Y33" i="23"/>
  <c r="Z33" i="23" s="1"/>
  <c r="K33" i="23"/>
  <c r="L33" i="23" s="1"/>
  <c r="AF31" i="23"/>
  <c r="Y31" i="23"/>
  <c r="Z31" i="23" s="1"/>
  <c r="K31" i="23"/>
  <c r="L31" i="23" s="1"/>
  <c r="AG30" i="23"/>
  <c r="Y30" i="23"/>
  <c r="Z30" i="23" s="1"/>
  <c r="K30" i="23"/>
  <c r="L30" i="23" s="1"/>
  <c r="F30" i="23" s="1"/>
  <c r="A30" i="23"/>
  <c r="A31" i="23" s="1"/>
  <c r="A33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G29" i="23"/>
  <c r="Y29" i="23"/>
  <c r="Z29" i="23" s="1"/>
  <c r="J29" i="23"/>
  <c r="K29" i="23" s="1"/>
  <c r="L29" i="23" s="1"/>
  <c r="F29" i="23" s="1"/>
  <c r="C29" i="23"/>
  <c r="AK29" i="23" s="1"/>
  <c r="Y28" i="23"/>
  <c r="AK27" i="23"/>
  <c r="AE27" i="23"/>
  <c r="AG27" i="23" s="1"/>
  <c r="Y27" i="23"/>
  <c r="Z27" i="23" s="1"/>
  <c r="J27" i="23"/>
  <c r="K27" i="23" s="1"/>
  <c r="L27" i="23" s="1"/>
  <c r="F27" i="23" s="1"/>
  <c r="AE26" i="23"/>
  <c r="AF26" i="23" s="1"/>
  <c r="Y26" i="23"/>
  <c r="Z26" i="23" s="1"/>
  <c r="J26" i="23"/>
  <c r="K26" i="23" s="1"/>
  <c r="L26" i="23" s="1"/>
  <c r="F26" i="23" s="1"/>
  <c r="G26" i="23"/>
  <c r="C26" i="23"/>
  <c r="AK26" i="23" s="1"/>
  <c r="AE25" i="23"/>
  <c r="AG25" i="23" s="1"/>
  <c r="Y25" i="23"/>
  <c r="Z25" i="23" s="1"/>
  <c r="J25" i="23"/>
  <c r="K25" i="23" s="1"/>
  <c r="L25" i="23" s="1"/>
  <c r="F25" i="23" s="1"/>
  <c r="C25" i="23"/>
  <c r="AK25" i="23" s="1"/>
  <c r="AE24" i="23"/>
  <c r="AF24" i="23" s="1"/>
  <c r="Y24" i="23"/>
  <c r="Z24" i="23" s="1"/>
  <c r="J24" i="23"/>
  <c r="K24" i="23" s="1"/>
  <c r="L24" i="23" s="1"/>
  <c r="F24" i="23" s="1"/>
  <c r="C24" i="23"/>
  <c r="AK24" i="23" s="1"/>
  <c r="AE23" i="23"/>
  <c r="AG23" i="23" s="1"/>
  <c r="Y23" i="23"/>
  <c r="Z23" i="23" s="1"/>
  <c r="J23" i="23"/>
  <c r="K23" i="23" s="1"/>
  <c r="L23" i="23" s="1"/>
  <c r="F23" i="23" s="1"/>
  <c r="C23" i="23"/>
  <c r="AK23" i="23" s="1"/>
  <c r="AE22" i="23"/>
  <c r="AF22" i="23" s="1"/>
  <c r="Y22" i="23"/>
  <c r="Z22" i="23" s="1"/>
  <c r="N22" i="23"/>
  <c r="P22" i="23" s="1"/>
  <c r="K22" i="23"/>
  <c r="L22" i="23" s="1"/>
  <c r="F22" i="23" s="1"/>
  <c r="C22" i="23"/>
  <c r="AK22" i="23" s="1"/>
  <c r="B22" i="23"/>
  <c r="AK21" i="23"/>
  <c r="AE21" i="23"/>
  <c r="AG21" i="23" s="1"/>
  <c r="Y21" i="23"/>
  <c r="Z21" i="23" s="1"/>
  <c r="J21" i="23"/>
  <c r="K21" i="23" s="1"/>
  <c r="L21" i="23" s="1"/>
  <c r="B21" i="23"/>
  <c r="AK20" i="23"/>
  <c r="AE20" i="23"/>
  <c r="AG20" i="23" s="1"/>
  <c r="Y20" i="23"/>
  <c r="L20" i="23"/>
  <c r="F20" i="23" s="1"/>
  <c r="J20" i="23"/>
  <c r="H20" i="23"/>
  <c r="B20" i="23"/>
  <c r="AK19" i="23"/>
  <c r="AE19" i="23"/>
  <c r="AF19" i="23" s="1"/>
  <c r="Y19" i="23"/>
  <c r="L19" i="23"/>
  <c r="F19" i="23" s="1"/>
  <c r="J19" i="23"/>
  <c r="H19" i="23"/>
  <c r="B19" i="23"/>
  <c r="AK18" i="23"/>
  <c r="L18" i="23"/>
  <c r="F18" i="23" s="1"/>
  <c r="J18" i="23"/>
  <c r="H18" i="23"/>
  <c r="K18" i="23" s="1"/>
  <c r="B18" i="23"/>
  <c r="AK17" i="23"/>
  <c r="L17" i="23"/>
  <c r="F17" i="23" s="1"/>
  <c r="J17" i="23"/>
  <c r="H17" i="23"/>
  <c r="R17" i="23" s="1"/>
  <c r="Y17" i="23" s="1"/>
  <c r="Z17" i="23" s="1"/>
  <c r="B17" i="23"/>
  <c r="AK16" i="23"/>
  <c r="L16" i="23"/>
  <c r="J16" i="23"/>
  <c r="H16" i="23"/>
  <c r="R16" i="23" s="1"/>
  <c r="Y16" i="23" s="1"/>
  <c r="B16" i="23"/>
  <c r="AK15" i="23"/>
  <c r="L15" i="23"/>
  <c r="J15" i="23"/>
  <c r="H15" i="23"/>
  <c r="R15" i="23" s="1"/>
  <c r="Y15" i="23" s="1"/>
  <c r="B15" i="23"/>
  <c r="AK14" i="23"/>
  <c r="L14" i="23"/>
  <c r="J14" i="23"/>
  <c r="H14" i="23"/>
  <c r="Q14" i="23" s="1"/>
  <c r="Y14" i="23" s="1"/>
  <c r="Z14" i="23" s="1"/>
  <c r="B14" i="23"/>
  <c r="AK13" i="23"/>
  <c r="L13" i="23"/>
  <c r="J13" i="23"/>
  <c r="H13" i="23"/>
  <c r="Q13" i="23" s="1"/>
  <c r="Y13" i="23" s="1"/>
  <c r="B13" i="23"/>
  <c r="AK12" i="23"/>
  <c r="L12" i="23"/>
  <c r="F12" i="23" s="1"/>
  <c r="J12" i="23"/>
  <c r="H12" i="23"/>
  <c r="Q12" i="23" s="1"/>
  <c r="Y12" i="23" s="1"/>
  <c r="B12" i="23"/>
  <c r="N10" i="23"/>
  <c r="J10" i="23"/>
  <c r="H10" i="23"/>
  <c r="N7" i="23"/>
  <c r="L7" i="23"/>
  <c r="K7" i="23"/>
  <c r="J7" i="23"/>
  <c r="H7" i="23"/>
  <c r="N51" i="22"/>
  <c r="K31" i="22"/>
  <c r="K49" i="20"/>
  <c r="K47" i="20"/>
  <c r="L47" i="20" s="1"/>
  <c r="M47" i="20" s="1"/>
  <c r="L75" i="22"/>
  <c r="H75" i="22"/>
  <c r="L70" i="22"/>
  <c r="J70" i="22"/>
  <c r="C68" i="22"/>
  <c r="J48" i="22"/>
  <c r="K48" i="22" s="1"/>
  <c r="J47" i="22"/>
  <c r="K47" i="22" s="1"/>
  <c r="J46" i="22"/>
  <c r="K46" i="22" s="1"/>
  <c r="L46" i="22" s="1"/>
  <c r="M46" i="22" s="1"/>
  <c r="J45" i="22"/>
  <c r="K45" i="22" s="1"/>
  <c r="L45" i="22" s="1"/>
  <c r="M45" i="22" s="1"/>
  <c r="I44" i="22"/>
  <c r="J44" i="22" s="1"/>
  <c r="K44" i="22" s="1"/>
  <c r="J43" i="22"/>
  <c r="K43" i="22" s="1"/>
  <c r="AE42" i="22"/>
  <c r="U42" i="22"/>
  <c r="X42" i="22" s="1"/>
  <c r="Y42" i="22" s="1"/>
  <c r="J42" i="22"/>
  <c r="K42" i="22" s="1"/>
  <c r="AE41" i="22"/>
  <c r="U41" i="22"/>
  <c r="X41" i="22" s="1"/>
  <c r="Y41" i="22" s="1"/>
  <c r="J41" i="22"/>
  <c r="K41" i="22" s="1"/>
  <c r="AE40" i="22"/>
  <c r="U40" i="22"/>
  <c r="X40" i="22" s="1"/>
  <c r="Y40" i="22" s="1"/>
  <c r="J40" i="22"/>
  <c r="K40" i="22" s="1"/>
  <c r="AE39" i="22"/>
  <c r="U39" i="22"/>
  <c r="X39" i="22" s="1"/>
  <c r="Y39" i="22" s="1"/>
  <c r="J39" i="22"/>
  <c r="K39" i="22" s="1"/>
  <c r="AE38" i="22"/>
  <c r="U38" i="22"/>
  <c r="X38" i="22" s="1"/>
  <c r="Y38" i="22" s="1"/>
  <c r="J38" i="22"/>
  <c r="K38" i="22" s="1"/>
  <c r="AE37" i="22"/>
  <c r="X37" i="22"/>
  <c r="Y37" i="22" s="1"/>
  <c r="V37" i="22"/>
  <c r="J37" i="22"/>
  <c r="K37" i="22" s="1"/>
  <c r="AE36" i="22"/>
  <c r="X36" i="22"/>
  <c r="Y36" i="22" s="1"/>
  <c r="V36" i="22"/>
  <c r="J36" i="22"/>
  <c r="K36" i="22" s="1"/>
  <c r="AD35" i="22"/>
  <c r="X35" i="22"/>
  <c r="Z35" i="22" s="1"/>
  <c r="M35" i="22"/>
  <c r="O35" i="22" s="1"/>
  <c r="J35" i="22"/>
  <c r="K35" i="22" s="1"/>
  <c r="AD34" i="22"/>
  <c r="X34" i="22"/>
  <c r="AD33" i="22"/>
  <c r="X33" i="22"/>
  <c r="J33" i="22"/>
  <c r="K33" i="22" s="1"/>
  <c r="AD32" i="22"/>
  <c r="X32" i="22"/>
  <c r="Y32" i="22" s="1"/>
  <c r="J32" i="22"/>
  <c r="K32" i="22" s="1"/>
  <c r="M32" i="22" s="1"/>
  <c r="AD31" i="22"/>
  <c r="X31" i="22"/>
  <c r="Y31" i="22" s="1"/>
  <c r="J31" i="22"/>
  <c r="AE30" i="22"/>
  <c r="X30" i="22"/>
  <c r="Y30" i="22" s="1"/>
  <c r="J30" i="22"/>
  <c r="K30" i="22" s="1"/>
  <c r="A30" i="22"/>
  <c r="A31" i="22" s="1"/>
  <c r="A32" i="22" s="1"/>
  <c r="A33" i="22" s="1"/>
  <c r="A35" i="22" s="1"/>
  <c r="A36" i="22" s="1"/>
  <c r="A37" i="22" s="1"/>
  <c r="A38" i="22" s="1"/>
  <c r="A39" i="22" s="1"/>
  <c r="A40" i="22" s="1"/>
  <c r="A41" i="22" s="1"/>
  <c r="A42" i="22" s="1"/>
  <c r="A43" i="22" s="1"/>
  <c r="AE29" i="22"/>
  <c r="X29" i="22"/>
  <c r="Y29" i="22" s="1"/>
  <c r="I29" i="22"/>
  <c r="J29" i="22" s="1"/>
  <c r="K29" i="22" s="1"/>
  <c r="C29" i="22"/>
  <c r="AJ29" i="22" s="1"/>
  <c r="X28" i="22"/>
  <c r="E28" i="22"/>
  <c r="AJ27" i="22"/>
  <c r="AC27" i="22"/>
  <c r="AD27" i="22" s="1"/>
  <c r="X27" i="22"/>
  <c r="Y27" i="22" s="1"/>
  <c r="I27" i="22"/>
  <c r="J27" i="22" s="1"/>
  <c r="K27" i="22" s="1"/>
  <c r="AC26" i="22"/>
  <c r="AE26" i="22" s="1"/>
  <c r="X26" i="22"/>
  <c r="Y26" i="22" s="1"/>
  <c r="I26" i="22"/>
  <c r="J26" i="22" s="1"/>
  <c r="K26" i="22" s="1"/>
  <c r="F26" i="22"/>
  <c r="C26" i="22"/>
  <c r="AJ26" i="22" s="1"/>
  <c r="AC25" i="22"/>
  <c r="AD25" i="22" s="1"/>
  <c r="X25" i="22"/>
  <c r="Y25" i="22" s="1"/>
  <c r="J25" i="22"/>
  <c r="K25" i="22" s="1"/>
  <c r="I25" i="22"/>
  <c r="C25" i="22"/>
  <c r="AJ25" i="22" s="1"/>
  <c r="AC24" i="22"/>
  <c r="AE24" i="22" s="1"/>
  <c r="X24" i="22"/>
  <c r="Y24" i="22" s="1"/>
  <c r="I24" i="22"/>
  <c r="J24" i="22" s="1"/>
  <c r="K24" i="22" s="1"/>
  <c r="C24" i="22"/>
  <c r="AJ24" i="22" s="1"/>
  <c r="AC23" i="22"/>
  <c r="AD23" i="22" s="1"/>
  <c r="X23" i="22"/>
  <c r="Y23" i="22" s="1"/>
  <c r="I23" i="22"/>
  <c r="J23" i="22" s="1"/>
  <c r="K23" i="22" s="1"/>
  <c r="C23" i="22"/>
  <c r="AJ23" i="22" s="1"/>
  <c r="AC22" i="22"/>
  <c r="AD22" i="22" s="1"/>
  <c r="X22" i="22"/>
  <c r="Z22" i="22" s="1"/>
  <c r="M22" i="22"/>
  <c r="J22" i="22"/>
  <c r="K22" i="22" s="1"/>
  <c r="C22" i="22"/>
  <c r="AJ22" i="22" s="1"/>
  <c r="B22" i="22"/>
  <c r="AJ21" i="22"/>
  <c r="AD21" i="22"/>
  <c r="AC21" i="22"/>
  <c r="AE21" i="22" s="1"/>
  <c r="X21" i="22"/>
  <c r="Y21" i="22" s="1"/>
  <c r="I21" i="22"/>
  <c r="J21" i="22" s="1"/>
  <c r="K21" i="22" s="1"/>
  <c r="B21" i="22"/>
  <c r="AJ20" i="22"/>
  <c r="AC20" i="22"/>
  <c r="AE20" i="22" s="1"/>
  <c r="X20" i="22"/>
  <c r="K20" i="22"/>
  <c r="M20" i="22" s="1"/>
  <c r="I20" i="22"/>
  <c r="G20" i="22"/>
  <c r="Y20" i="22" s="1"/>
  <c r="B20" i="22"/>
  <c r="AJ19" i="22"/>
  <c r="AC19" i="22"/>
  <c r="AD19" i="22" s="1"/>
  <c r="X19" i="22"/>
  <c r="K19" i="22"/>
  <c r="M19" i="22" s="1"/>
  <c r="I19" i="22"/>
  <c r="G19" i="22"/>
  <c r="Y19" i="22" s="1"/>
  <c r="B19" i="22"/>
  <c r="AJ18" i="22"/>
  <c r="K18" i="22"/>
  <c r="M18" i="22" s="1"/>
  <c r="I18" i="22"/>
  <c r="G18" i="22"/>
  <c r="Q18" i="22" s="1"/>
  <c r="X18" i="22" s="1"/>
  <c r="B18" i="22"/>
  <c r="AJ17" i="22"/>
  <c r="K17" i="22"/>
  <c r="M17" i="22" s="1"/>
  <c r="I17" i="22"/>
  <c r="G17" i="22"/>
  <c r="J17" i="22" s="1"/>
  <c r="B17" i="22"/>
  <c r="AJ16" i="22"/>
  <c r="K16" i="22"/>
  <c r="I16" i="22"/>
  <c r="G16" i="22"/>
  <c r="Q16" i="22" s="1"/>
  <c r="X16" i="22" s="1"/>
  <c r="Y16" i="22" s="1"/>
  <c r="B16" i="22"/>
  <c r="AJ15" i="22"/>
  <c r="K15" i="22"/>
  <c r="I15" i="22"/>
  <c r="G15" i="22"/>
  <c r="J15" i="22" s="1"/>
  <c r="B15" i="22"/>
  <c r="AJ14" i="22"/>
  <c r="K14" i="22"/>
  <c r="M14" i="22" s="1"/>
  <c r="I14" i="22"/>
  <c r="G14" i="22"/>
  <c r="B14" i="22"/>
  <c r="AJ13" i="22"/>
  <c r="K13" i="22"/>
  <c r="M13" i="22" s="1"/>
  <c r="I13" i="22"/>
  <c r="G13" i="22"/>
  <c r="B13" i="22"/>
  <c r="AJ12" i="22"/>
  <c r="K12" i="22"/>
  <c r="I12" i="22"/>
  <c r="G12" i="22"/>
  <c r="P12" i="22" s="1"/>
  <c r="X12" i="22" s="1"/>
  <c r="Y12" i="22" s="1"/>
  <c r="B12" i="22"/>
  <c r="M10" i="22"/>
  <c r="I10" i="22"/>
  <c r="G10" i="22"/>
  <c r="M7" i="22"/>
  <c r="K7" i="22"/>
  <c r="J7" i="22"/>
  <c r="I7" i="22"/>
  <c r="G7" i="22"/>
  <c r="K48" i="20"/>
  <c r="K44" i="20"/>
  <c r="K46" i="20"/>
  <c r="L46" i="20" s="1"/>
  <c r="M46" i="20" s="1"/>
  <c r="I45" i="20"/>
  <c r="E28" i="20"/>
  <c r="AD34" i="20"/>
  <c r="X34" i="20"/>
  <c r="B22" i="20"/>
  <c r="B21" i="20"/>
  <c r="B20" i="20"/>
  <c r="B19" i="20"/>
  <c r="B18" i="20"/>
  <c r="B17" i="20"/>
  <c r="B16" i="20"/>
  <c r="B15" i="20"/>
  <c r="B14" i="20"/>
  <c r="B13" i="20"/>
  <c r="B12" i="20"/>
  <c r="J43" i="20"/>
  <c r="K43" i="20" s="1"/>
  <c r="AD35" i="20"/>
  <c r="X35" i="20"/>
  <c r="Z35" i="20" s="1"/>
  <c r="AE37" i="20"/>
  <c r="AE36" i="20"/>
  <c r="I42" i="19"/>
  <c r="K42" i="19"/>
  <c r="Y42" i="19"/>
  <c r="M42" i="19"/>
  <c r="J42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C41" i="19"/>
  <c r="H41" i="19"/>
  <c r="I41" i="19"/>
  <c r="K41" i="19"/>
  <c r="J41" i="19"/>
  <c r="S41" i="19"/>
  <c r="V41" i="19"/>
  <c r="X41" i="19"/>
  <c r="Y41" i="19"/>
  <c r="W41" i="19"/>
  <c r="M41" i="19"/>
  <c r="AC40" i="19"/>
  <c r="H40" i="19"/>
  <c r="I40" i="19"/>
  <c r="K40" i="19"/>
  <c r="J40" i="19"/>
  <c r="S40" i="19"/>
  <c r="V40" i="19"/>
  <c r="X40" i="19"/>
  <c r="Y40" i="19"/>
  <c r="W40" i="19"/>
  <c r="M40" i="19"/>
  <c r="AC39" i="19"/>
  <c r="H39" i="19"/>
  <c r="I39" i="19"/>
  <c r="K39" i="19"/>
  <c r="J39" i="19"/>
  <c r="S39" i="19"/>
  <c r="V39" i="19"/>
  <c r="X39" i="19"/>
  <c r="Y39" i="19"/>
  <c r="W39" i="19"/>
  <c r="M39" i="19"/>
  <c r="AC38" i="19"/>
  <c r="H38" i="19"/>
  <c r="I38" i="19"/>
  <c r="K38" i="19"/>
  <c r="J38" i="19"/>
  <c r="S38" i="19"/>
  <c r="V38" i="19"/>
  <c r="X38" i="19"/>
  <c r="Y38" i="19"/>
  <c r="W38" i="19"/>
  <c r="M38" i="19"/>
  <c r="AC37" i="19"/>
  <c r="H37" i="19"/>
  <c r="I37" i="19"/>
  <c r="K37" i="19"/>
  <c r="J37" i="19"/>
  <c r="S37" i="19"/>
  <c r="V37" i="19"/>
  <c r="X37" i="19"/>
  <c r="Y37" i="19"/>
  <c r="W37" i="19"/>
  <c r="M37" i="19"/>
  <c r="H36" i="19"/>
  <c r="I36" i="19"/>
  <c r="K36" i="19"/>
  <c r="J36" i="19"/>
  <c r="V36" i="19"/>
  <c r="X36" i="19"/>
  <c r="Y36" i="19"/>
  <c r="W36" i="19"/>
  <c r="T36" i="19"/>
  <c r="M36" i="19"/>
  <c r="H35" i="19"/>
  <c r="I35" i="19"/>
  <c r="K35" i="19"/>
  <c r="J35" i="19"/>
  <c r="V35" i="19"/>
  <c r="X35" i="19"/>
  <c r="Y35" i="19"/>
  <c r="W35" i="19"/>
  <c r="T35" i="19"/>
  <c r="M35" i="19"/>
  <c r="K34" i="19"/>
  <c r="Y34" i="19"/>
  <c r="V34" i="19"/>
  <c r="M34" i="19"/>
  <c r="H34" i="19"/>
  <c r="I34" i="19"/>
  <c r="AB33" i="19"/>
  <c r="H33" i="19"/>
  <c r="I33" i="19"/>
  <c r="K33" i="19"/>
  <c r="J33" i="19"/>
  <c r="V33" i="19"/>
  <c r="X33" i="19"/>
  <c r="Y33" i="19"/>
  <c r="W33" i="19"/>
  <c r="M33" i="19"/>
  <c r="AB32" i="19"/>
  <c r="H32" i="19"/>
  <c r="I32" i="19"/>
  <c r="K32" i="19"/>
  <c r="J32" i="19"/>
  <c r="V32" i="19"/>
  <c r="X32" i="19"/>
  <c r="Y32" i="19"/>
  <c r="W32" i="19"/>
  <c r="M32" i="19"/>
  <c r="AB31" i="19"/>
  <c r="H31" i="19"/>
  <c r="I31" i="19"/>
  <c r="K31" i="19"/>
  <c r="J31" i="19"/>
  <c r="V31" i="19"/>
  <c r="X31" i="19"/>
  <c r="Y31" i="19"/>
  <c r="W31" i="19"/>
  <c r="M31" i="19"/>
  <c r="V37" i="20"/>
  <c r="V36" i="20"/>
  <c r="J31" i="20"/>
  <c r="K31" i="20" s="1"/>
  <c r="X31" i="20"/>
  <c r="Y31" i="20" s="1"/>
  <c r="J38" i="20"/>
  <c r="K38" i="20" s="1"/>
  <c r="U38" i="20"/>
  <c r="X38" i="20" s="1"/>
  <c r="Y38" i="20" s="1"/>
  <c r="J39" i="20"/>
  <c r="K39" i="20" s="1"/>
  <c r="U39" i="20"/>
  <c r="X39" i="20" s="1"/>
  <c r="Y39" i="20" s="1"/>
  <c r="J40" i="20"/>
  <c r="K40" i="20" s="1"/>
  <c r="U40" i="20"/>
  <c r="X40" i="20" s="1"/>
  <c r="Y40" i="20" s="1"/>
  <c r="J41" i="20"/>
  <c r="K41" i="20" s="1"/>
  <c r="U41" i="20"/>
  <c r="X41" i="20" s="1"/>
  <c r="Y41" i="20" s="1"/>
  <c r="J32" i="20"/>
  <c r="K32" i="20" s="1"/>
  <c r="X32" i="20"/>
  <c r="Y32" i="20" s="1"/>
  <c r="J33" i="20"/>
  <c r="K33" i="20" s="1"/>
  <c r="X33" i="20"/>
  <c r="J42" i="20"/>
  <c r="K42" i="20" s="1"/>
  <c r="U42" i="20"/>
  <c r="X42" i="20" s="1"/>
  <c r="Y42" i="20" s="1"/>
  <c r="M35" i="20"/>
  <c r="J36" i="20"/>
  <c r="K36" i="20" s="1"/>
  <c r="X36" i="20"/>
  <c r="J37" i="20"/>
  <c r="K37" i="20" s="1"/>
  <c r="L37" i="20" s="1"/>
  <c r="X37" i="20"/>
  <c r="J35" i="20"/>
  <c r="K35" i="20" s="1"/>
  <c r="I29" i="20"/>
  <c r="J29" i="20" s="1"/>
  <c r="K29" i="20" s="1"/>
  <c r="J30" i="20"/>
  <c r="K30" i="20" s="1"/>
  <c r="K12" i="20"/>
  <c r="M12" i="20" s="1"/>
  <c r="O12" i="20" s="1"/>
  <c r="E12" i="20" s="1"/>
  <c r="K13" i="20"/>
  <c r="M13" i="20" s="1"/>
  <c r="O13" i="20" s="1"/>
  <c r="AK13" i="20" s="1"/>
  <c r="K14" i="20"/>
  <c r="K15" i="20"/>
  <c r="K16" i="20"/>
  <c r="K17" i="20"/>
  <c r="M17" i="20" s="1"/>
  <c r="O17" i="20" s="1"/>
  <c r="AK17" i="20" s="1"/>
  <c r="K18" i="20"/>
  <c r="G12" i="20"/>
  <c r="G13" i="20"/>
  <c r="G14" i="20"/>
  <c r="P14" i="20" s="1"/>
  <c r="X14" i="20" s="1"/>
  <c r="Y14" i="20" s="1"/>
  <c r="G15" i="20"/>
  <c r="Q15" i="20" s="1"/>
  <c r="X15" i="20" s="1"/>
  <c r="Y15" i="20" s="1"/>
  <c r="G16" i="20"/>
  <c r="G17" i="20"/>
  <c r="G18" i="20"/>
  <c r="L18" i="20" s="1"/>
  <c r="K19" i="20"/>
  <c r="M19" i="20" s="1"/>
  <c r="K20" i="20"/>
  <c r="M20" i="20" s="1"/>
  <c r="O20" i="20" s="1"/>
  <c r="AK20" i="20" s="1"/>
  <c r="I21" i="20"/>
  <c r="J21" i="20" s="1"/>
  <c r="K21" i="20" s="1"/>
  <c r="M22" i="20"/>
  <c r="O22" i="20" s="1"/>
  <c r="AK22" i="20" s="1"/>
  <c r="I23" i="20"/>
  <c r="J23" i="20" s="1"/>
  <c r="K23" i="20" s="1"/>
  <c r="I24" i="20"/>
  <c r="J24" i="20" s="1"/>
  <c r="K24" i="20" s="1"/>
  <c r="I25" i="20"/>
  <c r="J25" i="20" s="1"/>
  <c r="K25" i="20" s="1"/>
  <c r="I26" i="20"/>
  <c r="J26" i="20" s="1"/>
  <c r="K26" i="20" s="1"/>
  <c r="I27" i="20"/>
  <c r="J27" i="20" s="1"/>
  <c r="K27" i="20" s="1"/>
  <c r="L76" i="20"/>
  <c r="J22" i="20"/>
  <c r="K22" i="20" s="1"/>
  <c r="M16" i="20"/>
  <c r="M18" i="20"/>
  <c r="O18" i="20" s="1"/>
  <c r="AK18" i="20" s="1"/>
  <c r="H76" i="20"/>
  <c r="J71" i="20"/>
  <c r="L71" i="20"/>
  <c r="C69" i="20"/>
  <c r="G19" i="20"/>
  <c r="X19" i="20"/>
  <c r="G20" i="20"/>
  <c r="X20" i="20"/>
  <c r="X21" i="20"/>
  <c r="Y21" i="20" s="1"/>
  <c r="X22" i="20"/>
  <c r="Z22" i="20" s="1"/>
  <c r="X23" i="20"/>
  <c r="Y23" i="20" s="1"/>
  <c r="X24" i="20"/>
  <c r="Y24" i="20" s="1"/>
  <c r="X25" i="20"/>
  <c r="Y25" i="20" s="1"/>
  <c r="X26" i="20"/>
  <c r="Y26" i="20" s="1"/>
  <c r="X27" i="20"/>
  <c r="Y27" i="20" s="1"/>
  <c r="X29" i="20"/>
  <c r="Y29" i="20" s="1"/>
  <c r="X30" i="20"/>
  <c r="Y30" i="20" s="1"/>
  <c r="N52" i="20"/>
  <c r="I12" i="20"/>
  <c r="I13" i="20"/>
  <c r="I14" i="20"/>
  <c r="I15" i="20"/>
  <c r="I16" i="20"/>
  <c r="I17" i="20"/>
  <c r="I18" i="20"/>
  <c r="I19" i="20"/>
  <c r="I20" i="20"/>
  <c r="A30" i="20"/>
  <c r="A31" i="20" s="1"/>
  <c r="A32" i="20" s="1"/>
  <c r="A33" i="20" s="1"/>
  <c r="A35" i="20" s="1"/>
  <c r="A36" i="20" s="1"/>
  <c r="A37" i="20" s="1"/>
  <c r="A38" i="20" s="1"/>
  <c r="A39" i="20" s="1"/>
  <c r="A40" i="20" s="1"/>
  <c r="A41" i="20" s="1"/>
  <c r="A42" i="20" s="1"/>
  <c r="A43" i="20" s="1"/>
  <c r="AE42" i="20"/>
  <c r="AE41" i="20"/>
  <c r="AE40" i="20"/>
  <c r="AE39" i="20"/>
  <c r="AE38" i="20"/>
  <c r="Y37" i="20"/>
  <c r="Y36" i="20"/>
  <c r="AD33" i="20"/>
  <c r="AD32" i="20"/>
  <c r="AD31" i="20"/>
  <c r="AE30" i="20"/>
  <c r="C29" i="20"/>
  <c r="AJ29" i="20" s="1"/>
  <c r="AE29" i="20"/>
  <c r="X28" i="20"/>
  <c r="AJ27" i="20"/>
  <c r="AC27" i="20"/>
  <c r="AE27" i="20" s="1"/>
  <c r="C26" i="20"/>
  <c r="AJ26" i="20" s="1"/>
  <c r="AC26" i="20"/>
  <c r="AD26" i="20" s="1"/>
  <c r="F26" i="20"/>
  <c r="C25" i="20"/>
  <c r="AJ25" i="20" s="1"/>
  <c r="AC25" i="20"/>
  <c r="AE25" i="20" s="1"/>
  <c r="C24" i="20"/>
  <c r="AJ24" i="20" s="1"/>
  <c r="AC24" i="20"/>
  <c r="AE24" i="20" s="1"/>
  <c r="C23" i="20"/>
  <c r="AJ23" i="20" s="1"/>
  <c r="AC23" i="20"/>
  <c r="AE23" i="20" s="1"/>
  <c r="C22" i="20"/>
  <c r="AJ22" i="20" s="1"/>
  <c r="AC22" i="20"/>
  <c r="AE22" i="20" s="1"/>
  <c r="AJ21" i="20"/>
  <c r="AC21" i="20"/>
  <c r="AE21" i="20" s="1"/>
  <c r="AJ20" i="20"/>
  <c r="AC20" i="20"/>
  <c r="AE20" i="20" s="1"/>
  <c r="AJ19" i="20"/>
  <c r="AC19" i="20"/>
  <c r="AE19" i="20" s="1"/>
  <c r="AJ18" i="20"/>
  <c r="AJ17" i="20"/>
  <c r="AJ16" i="20"/>
  <c r="AJ15" i="20"/>
  <c r="AJ14" i="20"/>
  <c r="AJ13" i="20"/>
  <c r="AJ12" i="20"/>
  <c r="M10" i="20"/>
  <c r="I10" i="20"/>
  <c r="G10" i="20"/>
  <c r="M7" i="20"/>
  <c r="K7" i="20"/>
  <c r="J7" i="20"/>
  <c r="I7" i="20"/>
  <c r="G7" i="20"/>
  <c r="K24" i="19"/>
  <c r="M23" i="19"/>
  <c r="C58" i="19"/>
  <c r="I45" i="19"/>
  <c r="C59" i="19"/>
  <c r="C61" i="19"/>
  <c r="C63" i="19"/>
  <c r="C62" i="19"/>
  <c r="C60" i="19"/>
  <c r="C57" i="19"/>
  <c r="J74" i="19"/>
  <c r="J73" i="19"/>
  <c r="K74" i="19"/>
  <c r="K73" i="19"/>
  <c r="K77" i="19"/>
  <c r="J77" i="19"/>
  <c r="I62" i="19"/>
  <c r="G53" i="19"/>
  <c r="I53" i="19"/>
  <c r="K53" i="19"/>
  <c r="I54" i="19"/>
  <c r="K54" i="19"/>
  <c r="K55" i="19"/>
  <c r="K56" i="19"/>
  <c r="K57" i="19"/>
  <c r="K58" i="19"/>
  <c r="K59" i="19"/>
  <c r="K60" i="19"/>
  <c r="K61" i="19"/>
  <c r="G62" i="19"/>
  <c r="L45" i="19"/>
  <c r="J63" i="19"/>
  <c r="H63" i="19"/>
  <c r="AC30" i="19"/>
  <c r="J68" i="19"/>
  <c r="F68" i="19"/>
  <c r="V30" i="19"/>
  <c r="W30" i="19"/>
  <c r="H30" i="19"/>
  <c r="I30" i="19"/>
  <c r="A30" i="19"/>
  <c r="AC29" i="19"/>
  <c r="V29" i="19"/>
  <c r="W29" i="19"/>
  <c r="G29" i="19"/>
  <c r="H29" i="19"/>
  <c r="I29" i="19"/>
  <c r="B29" i="19"/>
  <c r="AH29" i="19"/>
  <c r="V28" i="19"/>
  <c r="AH27" i="19"/>
  <c r="AA27" i="19"/>
  <c r="AB27" i="19"/>
  <c r="V27" i="19"/>
  <c r="W27" i="19"/>
  <c r="H27" i="19"/>
  <c r="I27" i="19"/>
  <c r="K27" i="19"/>
  <c r="G27" i="19"/>
  <c r="AA26" i="19"/>
  <c r="AC26" i="19"/>
  <c r="V26" i="19"/>
  <c r="W26" i="19"/>
  <c r="G26" i="19"/>
  <c r="H26" i="19"/>
  <c r="I26" i="19"/>
  <c r="D26" i="19"/>
  <c r="B26" i="19"/>
  <c r="AH26" i="19"/>
  <c r="AA25" i="19"/>
  <c r="AC25" i="19"/>
  <c r="V25" i="19"/>
  <c r="W25" i="19"/>
  <c r="G25" i="19"/>
  <c r="H25" i="19"/>
  <c r="I25" i="19"/>
  <c r="B25" i="19"/>
  <c r="AH25" i="19"/>
  <c r="AA24" i="19"/>
  <c r="AC24" i="19"/>
  <c r="V24" i="19"/>
  <c r="W24" i="19"/>
  <c r="G24" i="19"/>
  <c r="H24" i="19"/>
  <c r="I24" i="19"/>
  <c r="B24" i="19"/>
  <c r="AH24" i="19"/>
  <c r="AA23" i="19"/>
  <c r="AB23" i="19"/>
  <c r="V23" i="19"/>
  <c r="W23" i="19"/>
  <c r="G23" i="19"/>
  <c r="H23" i="19"/>
  <c r="I23" i="19"/>
  <c r="B23" i="19"/>
  <c r="AH23" i="19"/>
  <c r="AA22" i="19"/>
  <c r="AC22" i="19"/>
  <c r="V22" i="19"/>
  <c r="X22" i="19"/>
  <c r="K22" i="19"/>
  <c r="H22" i="19"/>
  <c r="I22" i="19"/>
  <c r="C22" i="19"/>
  <c r="B22" i="19"/>
  <c r="AH22" i="19"/>
  <c r="AH21" i="19"/>
  <c r="AA21" i="19"/>
  <c r="AC21" i="19"/>
  <c r="V21" i="19"/>
  <c r="W21" i="19"/>
  <c r="G21" i="19"/>
  <c r="H21" i="19"/>
  <c r="I21" i="19"/>
  <c r="C21" i="19"/>
  <c r="AH20" i="19"/>
  <c r="AA20" i="19"/>
  <c r="AB20" i="19"/>
  <c r="V20" i="19"/>
  <c r="I20" i="19"/>
  <c r="K20" i="19"/>
  <c r="G20" i="19"/>
  <c r="E20" i="19"/>
  <c r="C20" i="19"/>
  <c r="AH19" i="19"/>
  <c r="AA19" i="19"/>
  <c r="AC19" i="19"/>
  <c r="V19" i="19"/>
  <c r="I19" i="19"/>
  <c r="G19" i="19"/>
  <c r="E19" i="19"/>
  <c r="C19" i="19"/>
  <c r="AH18" i="19"/>
  <c r="I18" i="19"/>
  <c r="K18" i="19"/>
  <c r="G18" i="19"/>
  <c r="E18" i="19"/>
  <c r="C18" i="19"/>
  <c r="AH17" i="19"/>
  <c r="I17" i="19"/>
  <c r="G17" i="19"/>
  <c r="E17" i="19"/>
  <c r="O17" i="19"/>
  <c r="V17" i="19"/>
  <c r="C17" i="19"/>
  <c r="AH16" i="19"/>
  <c r="I16" i="19"/>
  <c r="G16" i="19"/>
  <c r="E16" i="19"/>
  <c r="O16" i="19"/>
  <c r="V16" i="19"/>
  <c r="C16" i="19"/>
  <c r="AH15" i="19"/>
  <c r="I15" i="19"/>
  <c r="G15" i="19"/>
  <c r="E15" i="19"/>
  <c r="C15" i="19"/>
  <c r="AH14" i="19"/>
  <c r="I14" i="19"/>
  <c r="G14" i="19"/>
  <c r="E14" i="19"/>
  <c r="N14" i="19"/>
  <c r="V14" i="19"/>
  <c r="C14" i="19"/>
  <c r="AH13" i="19"/>
  <c r="I13" i="19"/>
  <c r="K13" i="19"/>
  <c r="M13" i="19"/>
  <c r="AI13" i="19"/>
  <c r="G13" i="19"/>
  <c r="E13" i="19"/>
  <c r="C13" i="19"/>
  <c r="AH12" i="19"/>
  <c r="I12" i="19"/>
  <c r="G12" i="19"/>
  <c r="E12" i="19"/>
  <c r="C12" i="19"/>
  <c r="K10" i="19"/>
  <c r="G10" i="19"/>
  <c r="E10" i="19"/>
  <c r="K7" i="19"/>
  <c r="I7" i="19"/>
  <c r="H7" i="19"/>
  <c r="G7" i="19"/>
  <c r="E7" i="19"/>
  <c r="AA41" i="17"/>
  <c r="AA40" i="17"/>
  <c r="AA39" i="17"/>
  <c r="AC39" i="17"/>
  <c r="AA38" i="17"/>
  <c r="AC38" i="17"/>
  <c r="AA37" i="17"/>
  <c r="AC37" i="17"/>
  <c r="AC41" i="17"/>
  <c r="AC40" i="17"/>
  <c r="AC43" i="17"/>
  <c r="AC42" i="17"/>
  <c r="S41" i="17"/>
  <c r="S40" i="17"/>
  <c r="S39" i="17"/>
  <c r="V39" i="17"/>
  <c r="W39" i="17"/>
  <c r="S38" i="17"/>
  <c r="V38" i="17"/>
  <c r="W38" i="17"/>
  <c r="S37" i="17"/>
  <c r="V37" i="17"/>
  <c r="W37" i="17"/>
  <c r="S36" i="17"/>
  <c r="V36" i="17"/>
  <c r="W36" i="17"/>
  <c r="S35" i="17"/>
  <c r="V35" i="17"/>
  <c r="W35" i="17"/>
  <c r="AC30" i="17"/>
  <c r="AC29" i="17"/>
  <c r="AA33" i="17"/>
  <c r="AB33" i="17"/>
  <c r="AA32" i="17"/>
  <c r="AB32" i="17"/>
  <c r="AA31" i="17"/>
  <c r="AB31" i="17"/>
  <c r="V33" i="17"/>
  <c r="W33" i="17"/>
  <c r="V32" i="17"/>
  <c r="L45" i="17"/>
  <c r="A6" i="18"/>
  <c r="A7" i="18"/>
  <c r="A8" i="18"/>
  <c r="A9" i="18"/>
  <c r="A10" i="18"/>
  <c r="A11" i="18"/>
  <c r="A5" i="18"/>
  <c r="C12" i="18"/>
  <c r="H43" i="17"/>
  <c r="I43" i="17"/>
  <c r="K43" i="17"/>
  <c r="Y43" i="17"/>
  <c r="Z43" i="17"/>
  <c r="AA43" i="17"/>
  <c r="F52" i="15"/>
  <c r="I52" i="15"/>
  <c r="X43" i="15"/>
  <c r="W43" i="15"/>
  <c r="M43" i="15"/>
  <c r="L43" i="15"/>
  <c r="K43" i="15"/>
  <c r="I43" i="15"/>
  <c r="H43" i="15"/>
  <c r="Y42" i="15"/>
  <c r="Z42" i="15"/>
  <c r="J42" i="15"/>
  <c r="I42" i="15"/>
  <c r="K42" i="15"/>
  <c r="M42" i="15"/>
  <c r="A42" i="15"/>
  <c r="Z42" i="17"/>
  <c r="AA42" i="17"/>
  <c r="I42" i="17"/>
  <c r="K42" i="17"/>
  <c r="M42" i="17"/>
  <c r="J67" i="17"/>
  <c r="F67" i="17"/>
  <c r="J62" i="17"/>
  <c r="H62" i="17"/>
  <c r="V41" i="17"/>
  <c r="W41" i="17"/>
  <c r="H41" i="17"/>
  <c r="I41" i="17"/>
  <c r="I54" i="17"/>
  <c r="V40" i="17"/>
  <c r="W40" i="17"/>
  <c r="H40" i="17"/>
  <c r="I40" i="17"/>
  <c r="H39" i="17"/>
  <c r="I39" i="17"/>
  <c r="H38" i="17"/>
  <c r="I38" i="17"/>
  <c r="H37" i="17"/>
  <c r="I37" i="17"/>
  <c r="Z36" i="17"/>
  <c r="AA36" i="17"/>
  <c r="AC36" i="17"/>
  <c r="H36" i="17"/>
  <c r="I36" i="17"/>
  <c r="Z35" i="17"/>
  <c r="AA35" i="17"/>
  <c r="AC35" i="17"/>
  <c r="H35" i="17"/>
  <c r="I35" i="17"/>
  <c r="V34" i="17"/>
  <c r="K34" i="17"/>
  <c r="M34" i="17"/>
  <c r="H34" i="17"/>
  <c r="I34" i="17"/>
  <c r="H33" i="17"/>
  <c r="I33" i="17"/>
  <c r="K33" i="17"/>
  <c r="H32" i="17"/>
  <c r="I32" i="17"/>
  <c r="V31" i="17"/>
  <c r="H31" i="17"/>
  <c r="I31" i="17"/>
  <c r="V30" i="17"/>
  <c r="W30" i="17"/>
  <c r="H30" i="17"/>
  <c r="I30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B29" i="17"/>
  <c r="V29" i="17"/>
  <c r="W29" i="17"/>
  <c r="G29" i="17"/>
  <c r="H29" i="17"/>
  <c r="I29" i="17"/>
  <c r="B29" i="17"/>
  <c r="AG29" i="17"/>
  <c r="V28" i="17"/>
  <c r="AG27" i="17"/>
  <c r="AA27" i="17"/>
  <c r="AB27" i="17"/>
  <c r="V27" i="17"/>
  <c r="W27" i="17"/>
  <c r="G27" i="17"/>
  <c r="H27" i="17"/>
  <c r="I27" i="17"/>
  <c r="AA26" i="17"/>
  <c r="AB26" i="17"/>
  <c r="V26" i="17"/>
  <c r="W26" i="17"/>
  <c r="G26" i="17"/>
  <c r="H26" i="17"/>
  <c r="I26" i="17"/>
  <c r="D26" i="17"/>
  <c r="B26" i="17"/>
  <c r="AG26" i="17"/>
  <c r="AG25" i="17"/>
  <c r="AA25" i="17"/>
  <c r="AC25" i="17"/>
  <c r="V25" i="17"/>
  <c r="W25" i="17"/>
  <c r="G25" i="17"/>
  <c r="H25" i="17"/>
  <c r="I25" i="17"/>
  <c r="B25" i="17"/>
  <c r="AA24" i="17"/>
  <c r="AC24" i="17"/>
  <c r="V24" i="17"/>
  <c r="W24" i="17"/>
  <c r="G24" i="17"/>
  <c r="H24" i="17"/>
  <c r="I24" i="17"/>
  <c r="B24" i="17"/>
  <c r="AG24" i="17"/>
  <c r="AA23" i="17"/>
  <c r="AB23" i="17"/>
  <c r="V23" i="17"/>
  <c r="W23" i="17"/>
  <c r="G23" i="17"/>
  <c r="H23" i="17"/>
  <c r="I23" i="17"/>
  <c r="B23" i="17"/>
  <c r="AG23" i="17"/>
  <c r="AA22" i="17"/>
  <c r="AC22" i="17"/>
  <c r="V22" i="17"/>
  <c r="X22" i="17"/>
  <c r="K22" i="17"/>
  <c r="H22" i="17"/>
  <c r="I22" i="17"/>
  <c r="C22" i="17"/>
  <c r="B22" i="17"/>
  <c r="AG22" i="17"/>
  <c r="AG21" i="17"/>
  <c r="AA21" i="17"/>
  <c r="AC21" i="17"/>
  <c r="V21" i="17"/>
  <c r="W21" i="17"/>
  <c r="G21" i="17"/>
  <c r="H21" i="17"/>
  <c r="I21" i="17"/>
  <c r="C21" i="17"/>
  <c r="AG20" i="17"/>
  <c r="AA20" i="17"/>
  <c r="AC20" i="17"/>
  <c r="V20" i="17"/>
  <c r="I20" i="17"/>
  <c r="J20" i="17"/>
  <c r="G20" i="17"/>
  <c r="E20" i="17"/>
  <c r="C20" i="17"/>
  <c r="AG19" i="17"/>
  <c r="AA19" i="17"/>
  <c r="AC19" i="17"/>
  <c r="V19" i="17"/>
  <c r="I19" i="17"/>
  <c r="K19" i="17"/>
  <c r="G19" i="17"/>
  <c r="E19" i="17"/>
  <c r="C19" i="17"/>
  <c r="AG18" i="17"/>
  <c r="I18" i="17"/>
  <c r="K18" i="17"/>
  <c r="G18" i="17"/>
  <c r="E18" i="17"/>
  <c r="C18" i="17"/>
  <c r="AG17" i="17"/>
  <c r="I17" i="17"/>
  <c r="G17" i="17"/>
  <c r="E17" i="17"/>
  <c r="C17" i="17"/>
  <c r="AG16" i="17"/>
  <c r="I16" i="17"/>
  <c r="K16" i="17"/>
  <c r="G16" i="17"/>
  <c r="E16" i="17"/>
  <c r="C16" i="17"/>
  <c r="AG15" i="17"/>
  <c r="I15" i="17"/>
  <c r="K15" i="17"/>
  <c r="G15" i="17"/>
  <c r="E15" i="17"/>
  <c r="C15" i="17"/>
  <c r="AG14" i="17"/>
  <c r="I14" i="17"/>
  <c r="K14" i="17"/>
  <c r="G14" i="17"/>
  <c r="E14" i="17"/>
  <c r="C14" i="17"/>
  <c r="AG13" i="17"/>
  <c r="I13" i="17"/>
  <c r="K13" i="17"/>
  <c r="G13" i="17"/>
  <c r="E13" i="17"/>
  <c r="C13" i="17"/>
  <c r="AG12" i="17"/>
  <c r="I12" i="17"/>
  <c r="G12" i="17"/>
  <c r="E12" i="17"/>
  <c r="C12" i="17"/>
  <c r="K10" i="17"/>
  <c r="G10" i="17"/>
  <c r="E10" i="17"/>
  <c r="K7" i="17"/>
  <c r="I7" i="17"/>
  <c r="H7" i="17"/>
  <c r="G7" i="17"/>
  <c r="E7" i="17"/>
  <c r="I52" i="16"/>
  <c r="Y41" i="15"/>
  <c r="Z41" i="15"/>
  <c r="U41" i="15"/>
  <c r="H41" i="15"/>
  <c r="I41" i="15"/>
  <c r="K41" i="15"/>
  <c r="F52" i="16"/>
  <c r="G52" i="16"/>
  <c r="M43" i="16"/>
  <c r="K43" i="16"/>
  <c r="I43" i="16"/>
  <c r="H43" i="16"/>
  <c r="Y41" i="16"/>
  <c r="Z41" i="16"/>
  <c r="U41" i="16"/>
  <c r="H41" i="16"/>
  <c r="I41" i="16"/>
  <c r="A41" i="16"/>
  <c r="AB22" i="19"/>
  <c r="AB25" i="19"/>
  <c r="H14" i="19"/>
  <c r="J16" i="19"/>
  <c r="J14" i="19"/>
  <c r="X14" i="19"/>
  <c r="H19" i="19"/>
  <c r="H13" i="19"/>
  <c r="H20" i="19"/>
  <c r="K16" i="19"/>
  <c r="M16" i="19"/>
  <c r="AI16" i="19"/>
  <c r="AJ16" i="19"/>
  <c r="K75" i="19"/>
  <c r="X16" i="19"/>
  <c r="W20" i="19"/>
  <c r="J20" i="19"/>
  <c r="X20" i="19"/>
  <c r="Y20" i="19"/>
  <c r="AC27" i="19"/>
  <c r="J19" i="19"/>
  <c r="X19" i="19"/>
  <c r="AC20" i="19"/>
  <c r="K19" i="19"/>
  <c r="M19" i="19"/>
  <c r="N13" i="19"/>
  <c r="V13" i="19"/>
  <c r="W13" i="19"/>
  <c r="W19" i="19"/>
  <c r="F50" i="19"/>
  <c r="H16" i="19"/>
  <c r="J13" i="19"/>
  <c r="H17" i="19"/>
  <c r="J17" i="19"/>
  <c r="X17" i="19"/>
  <c r="W14" i="19"/>
  <c r="K21" i="19"/>
  <c r="J21" i="19"/>
  <c r="X21" i="19"/>
  <c r="M18" i="19"/>
  <c r="AI18" i="19"/>
  <c r="AJ18" i="19"/>
  <c r="M27" i="19"/>
  <c r="AI27" i="19"/>
  <c r="AJ27" i="19"/>
  <c r="K30" i="19"/>
  <c r="J30" i="19"/>
  <c r="X30" i="19"/>
  <c r="M20" i="19"/>
  <c r="AI20" i="19"/>
  <c r="AJ20" i="19"/>
  <c r="I51" i="19"/>
  <c r="K23" i="19"/>
  <c r="J23" i="19"/>
  <c r="X23" i="19"/>
  <c r="J25" i="19"/>
  <c r="X25" i="19"/>
  <c r="K25" i="19"/>
  <c r="W17" i="19"/>
  <c r="Y22" i="19"/>
  <c r="J24" i="19"/>
  <c r="X24" i="19"/>
  <c r="K26" i="19"/>
  <c r="J26" i="19"/>
  <c r="X26" i="19"/>
  <c r="I52" i="19"/>
  <c r="K29" i="19"/>
  <c r="J29" i="19"/>
  <c r="X29" i="19"/>
  <c r="AJ13" i="19"/>
  <c r="J27" i="19"/>
  <c r="X27" i="19"/>
  <c r="Y27" i="19"/>
  <c r="K14" i="19"/>
  <c r="W16" i="19"/>
  <c r="K17" i="19"/>
  <c r="M22" i="19"/>
  <c r="AI22" i="19"/>
  <c r="AJ22" i="19"/>
  <c r="AC23" i="19"/>
  <c r="F49" i="19"/>
  <c r="F63" i="19"/>
  <c r="AB21" i="19"/>
  <c r="W22" i="19"/>
  <c r="J12" i="19"/>
  <c r="J15" i="19"/>
  <c r="J18" i="19"/>
  <c r="AB19" i="19"/>
  <c r="AB26" i="19"/>
  <c r="K12" i="19"/>
  <c r="K15" i="19"/>
  <c r="AB24" i="19"/>
  <c r="H12" i="19"/>
  <c r="H15" i="19"/>
  <c r="H18" i="19"/>
  <c r="N12" i="19"/>
  <c r="V12" i="19"/>
  <c r="W12" i="19"/>
  <c r="O15" i="19"/>
  <c r="V15" i="19"/>
  <c r="W15" i="19"/>
  <c r="O18" i="19"/>
  <c r="V18" i="19"/>
  <c r="W18" i="19"/>
  <c r="I50" i="19"/>
  <c r="H17" i="17"/>
  <c r="Y42" i="17"/>
  <c r="AC31" i="17"/>
  <c r="X31" i="17"/>
  <c r="X45" i="17"/>
  <c r="AC32" i="17"/>
  <c r="I45" i="17"/>
  <c r="AC33" i="17"/>
  <c r="X33" i="17"/>
  <c r="J73" i="17"/>
  <c r="W32" i="17"/>
  <c r="W31" i="17"/>
  <c r="AB37" i="17"/>
  <c r="AC23" i="17"/>
  <c r="H16" i="17"/>
  <c r="Y22" i="17"/>
  <c r="K25" i="17"/>
  <c r="J25" i="17"/>
  <c r="AB39" i="17"/>
  <c r="H14" i="17"/>
  <c r="M43" i="17"/>
  <c r="AB43" i="17"/>
  <c r="J43" i="17"/>
  <c r="AB35" i="17"/>
  <c r="AB41" i="17"/>
  <c r="H13" i="17"/>
  <c r="W20" i="17"/>
  <c r="W19" i="17"/>
  <c r="N14" i="17"/>
  <c r="V14" i="17"/>
  <c r="W14" i="17"/>
  <c r="AB42" i="15"/>
  <c r="AA42" i="15"/>
  <c r="J42" i="17"/>
  <c r="AB42" i="17"/>
  <c r="AB38" i="17"/>
  <c r="AB36" i="17"/>
  <c r="J30" i="17"/>
  <c r="X30" i="17"/>
  <c r="K30" i="17"/>
  <c r="M30" i="17"/>
  <c r="J31" i="17"/>
  <c r="K31" i="17"/>
  <c r="AB40" i="17"/>
  <c r="H15" i="17"/>
  <c r="AB20" i="17"/>
  <c r="O17" i="17"/>
  <c r="V17" i="17"/>
  <c r="W17" i="17"/>
  <c r="J17" i="17"/>
  <c r="AB25" i="17"/>
  <c r="K17" i="17"/>
  <c r="M17" i="17"/>
  <c r="AH17" i="17"/>
  <c r="AI17" i="17"/>
  <c r="AC27" i="17"/>
  <c r="Y34" i="17"/>
  <c r="H12" i="17"/>
  <c r="M22" i="17"/>
  <c r="AH22" i="17"/>
  <c r="AI22" i="17"/>
  <c r="O16" i="17"/>
  <c r="V16" i="17"/>
  <c r="W16" i="17"/>
  <c r="H18" i="17"/>
  <c r="H20" i="17"/>
  <c r="N13" i="17"/>
  <c r="V13" i="17"/>
  <c r="W13" i="17"/>
  <c r="X20" i="17"/>
  <c r="X25" i="17"/>
  <c r="J35" i="17"/>
  <c r="X35" i="17"/>
  <c r="K35" i="17"/>
  <c r="J37" i="17"/>
  <c r="X37" i="17"/>
  <c r="K37" i="17"/>
  <c r="K39" i="17"/>
  <c r="J39" i="17"/>
  <c r="X39" i="17"/>
  <c r="J41" i="17"/>
  <c r="X41" i="17"/>
  <c r="K41" i="17"/>
  <c r="M16" i="17"/>
  <c r="AH16" i="17"/>
  <c r="AI16" i="17"/>
  <c r="K23" i="17"/>
  <c r="J23" i="17"/>
  <c r="X23" i="17"/>
  <c r="I51" i="17"/>
  <c r="K26" i="17"/>
  <c r="J26" i="17"/>
  <c r="X26" i="17"/>
  <c r="I52" i="17"/>
  <c r="J29" i="17"/>
  <c r="X29" i="17"/>
  <c r="K29" i="17"/>
  <c r="M14" i="17"/>
  <c r="AH14" i="17"/>
  <c r="AI14" i="17"/>
  <c r="I50" i="17"/>
  <c r="M33" i="17"/>
  <c r="K21" i="17"/>
  <c r="J21" i="17"/>
  <c r="X21" i="17"/>
  <c r="K32" i="17"/>
  <c r="J32" i="17"/>
  <c r="X32" i="17"/>
  <c r="J40" i="17"/>
  <c r="X40" i="17"/>
  <c r="K40" i="17"/>
  <c r="K27" i="17"/>
  <c r="J27" i="17"/>
  <c r="X27" i="17"/>
  <c r="M18" i="17"/>
  <c r="AH18" i="17"/>
  <c r="AI18" i="17"/>
  <c r="K36" i="17"/>
  <c r="J36" i="17"/>
  <c r="X36" i="17"/>
  <c r="J38" i="17"/>
  <c r="X38" i="17"/>
  <c r="K38" i="17"/>
  <c r="M13" i="17"/>
  <c r="AH13" i="17"/>
  <c r="AI13" i="17"/>
  <c r="M15" i="17"/>
  <c r="AH15" i="17"/>
  <c r="AI15" i="17"/>
  <c r="M19" i="17"/>
  <c r="J24" i="17"/>
  <c r="X24" i="17"/>
  <c r="K24" i="17"/>
  <c r="K20" i="17"/>
  <c r="J12" i="17"/>
  <c r="J15" i="17"/>
  <c r="H19" i="17"/>
  <c r="AB30" i="17"/>
  <c r="F49" i="17"/>
  <c r="F62" i="17"/>
  <c r="J14" i="17"/>
  <c r="I53" i="17"/>
  <c r="W22" i="17"/>
  <c r="J33" i="17"/>
  <c r="F50" i="17"/>
  <c r="J18" i="17"/>
  <c r="AB19" i="17"/>
  <c r="M25" i="17"/>
  <c r="AH25" i="17"/>
  <c r="AI25" i="17"/>
  <c r="K12" i="17"/>
  <c r="AC26" i="17"/>
  <c r="O15" i="17"/>
  <c r="V15" i="17"/>
  <c r="W15" i="17"/>
  <c r="O18" i="17"/>
  <c r="V18" i="17"/>
  <c r="W18" i="17"/>
  <c r="AB22" i="17"/>
  <c r="AB21" i="17"/>
  <c r="AB24" i="17"/>
  <c r="N12" i="17"/>
  <c r="V12" i="17"/>
  <c r="W12" i="17"/>
  <c r="J13" i="17"/>
  <c r="J16" i="17"/>
  <c r="J19" i="17"/>
  <c r="X19" i="17"/>
  <c r="Y19" i="17"/>
  <c r="X41" i="15"/>
  <c r="M41" i="15"/>
  <c r="AB41" i="15"/>
  <c r="AA41" i="15"/>
  <c r="J41" i="15"/>
  <c r="K41" i="16"/>
  <c r="J41" i="16"/>
  <c r="AA41" i="16"/>
  <c r="AB41" i="16"/>
  <c r="J58" i="16"/>
  <c r="F58" i="16"/>
  <c r="J53" i="16"/>
  <c r="H53" i="16"/>
  <c r="L43" i="16"/>
  <c r="Y40" i="16"/>
  <c r="Z40" i="16"/>
  <c r="U40" i="16"/>
  <c r="K40" i="16"/>
  <c r="X40" i="16"/>
  <c r="I40" i="16"/>
  <c r="J40" i="16"/>
  <c r="H40" i="16"/>
  <c r="Y39" i="16"/>
  <c r="Z39" i="16"/>
  <c r="U39" i="16"/>
  <c r="K39" i="16"/>
  <c r="X39" i="16"/>
  <c r="I39" i="16"/>
  <c r="J39" i="16"/>
  <c r="H39" i="16"/>
  <c r="Y38" i="16"/>
  <c r="Z38" i="16"/>
  <c r="U38" i="16"/>
  <c r="K38" i="16"/>
  <c r="X38" i="16"/>
  <c r="I38" i="16"/>
  <c r="J38" i="16"/>
  <c r="H38" i="16"/>
  <c r="Y37" i="16"/>
  <c r="Z37" i="16"/>
  <c r="U37" i="16"/>
  <c r="K37" i="16"/>
  <c r="X37" i="16"/>
  <c r="I37" i="16"/>
  <c r="J37" i="16"/>
  <c r="H37" i="16"/>
  <c r="Y36" i="16"/>
  <c r="Z36" i="16"/>
  <c r="U36" i="16"/>
  <c r="K36" i="16"/>
  <c r="X36" i="16"/>
  <c r="I36" i="16"/>
  <c r="J36" i="16"/>
  <c r="H36" i="16"/>
  <c r="Y35" i="16"/>
  <c r="Z35" i="16"/>
  <c r="U35" i="16"/>
  <c r="K35" i="16"/>
  <c r="X35" i="16"/>
  <c r="I35" i="16"/>
  <c r="J35" i="16"/>
  <c r="H35" i="16"/>
  <c r="X34" i="16"/>
  <c r="U34" i="16"/>
  <c r="K34" i="16"/>
  <c r="M34" i="16"/>
  <c r="H34" i="16"/>
  <c r="I34" i="16"/>
  <c r="U33" i="16"/>
  <c r="I33" i="16"/>
  <c r="K33" i="16"/>
  <c r="H33" i="16"/>
  <c r="U32" i="16"/>
  <c r="H32" i="16"/>
  <c r="I32" i="16"/>
  <c r="U31" i="16"/>
  <c r="H31" i="16"/>
  <c r="I31" i="16"/>
  <c r="AB30" i="16"/>
  <c r="Z30" i="16"/>
  <c r="AA30" i="16"/>
  <c r="V30" i="16"/>
  <c r="U30" i="16"/>
  <c r="H30" i="16"/>
  <c r="I30" i="16"/>
  <c r="A30" i="16"/>
  <c r="A31" i="16"/>
  <c r="A32" i="16"/>
  <c r="A33" i="16"/>
  <c r="A34" i="16"/>
  <c r="A35" i="16"/>
  <c r="A36" i="16"/>
  <c r="A37" i="16"/>
  <c r="A38" i="16"/>
  <c r="A39" i="16"/>
  <c r="A40" i="16"/>
  <c r="AA29" i="16"/>
  <c r="Z29" i="16"/>
  <c r="AB29" i="16"/>
  <c r="U29" i="16"/>
  <c r="V29" i="16"/>
  <c r="G29" i="16"/>
  <c r="H29" i="16"/>
  <c r="I29" i="16"/>
  <c r="B29" i="16"/>
  <c r="AF29" i="16"/>
  <c r="U28" i="16"/>
  <c r="AF27" i="16"/>
  <c r="Z27" i="16"/>
  <c r="AB27" i="16"/>
  <c r="U27" i="16"/>
  <c r="V27" i="16"/>
  <c r="H27" i="16"/>
  <c r="I27" i="16"/>
  <c r="G27" i="16"/>
  <c r="AB26" i="16"/>
  <c r="Z26" i="16"/>
  <c r="AA26" i="16"/>
  <c r="U26" i="16"/>
  <c r="V26" i="16"/>
  <c r="G26" i="16"/>
  <c r="H26" i="16"/>
  <c r="I26" i="16"/>
  <c r="D26" i="16"/>
  <c r="B26" i="16"/>
  <c r="AF26" i="16"/>
  <c r="AA25" i="16"/>
  <c r="Z25" i="16"/>
  <c r="AB25" i="16"/>
  <c r="U25" i="16"/>
  <c r="V25" i="16"/>
  <c r="G25" i="16"/>
  <c r="H25" i="16"/>
  <c r="I25" i="16"/>
  <c r="B25" i="16"/>
  <c r="AF25" i="16"/>
  <c r="AF24" i="16"/>
  <c r="AA24" i="16"/>
  <c r="Z24" i="16"/>
  <c r="AB24" i="16"/>
  <c r="V24" i="16"/>
  <c r="U24" i="16"/>
  <c r="H24" i="16"/>
  <c r="I24" i="16"/>
  <c r="G24" i="16"/>
  <c r="B24" i="16"/>
  <c r="AF23" i="16"/>
  <c r="Z23" i="16"/>
  <c r="AB23" i="16"/>
  <c r="U23" i="16"/>
  <c r="V23" i="16"/>
  <c r="H23" i="16"/>
  <c r="I23" i="16"/>
  <c r="G23" i="16"/>
  <c r="B23" i="16"/>
  <c r="AG22" i="16"/>
  <c r="AB22" i="16"/>
  <c r="AA22" i="16"/>
  <c r="Z22" i="16"/>
  <c r="U22" i="16"/>
  <c r="W22" i="16"/>
  <c r="X22" i="16"/>
  <c r="M22" i="16"/>
  <c r="K22" i="16"/>
  <c r="H22" i="16"/>
  <c r="I22" i="16"/>
  <c r="C22" i="16"/>
  <c r="B22" i="16"/>
  <c r="AF22" i="16"/>
  <c r="AH22" i="16"/>
  <c r="AF21" i="16"/>
  <c r="Z21" i="16"/>
  <c r="AB21" i="16"/>
  <c r="U21" i="16"/>
  <c r="V21" i="16"/>
  <c r="G21" i="16"/>
  <c r="H21" i="16"/>
  <c r="I21" i="16"/>
  <c r="C21" i="16"/>
  <c r="AF20" i="16"/>
  <c r="AA20" i="16"/>
  <c r="Z20" i="16"/>
  <c r="AB20" i="16"/>
  <c r="U20" i="16"/>
  <c r="M20" i="16"/>
  <c r="AG20" i="16"/>
  <c r="K20" i="16"/>
  <c r="I20" i="16"/>
  <c r="G20" i="16"/>
  <c r="E20" i="16"/>
  <c r="V20" i="16"/>
  <c r="C20" i="16"/>
  <c r="AF19" i="16"/>
  <c r="AA19" i="16"/>
  <c r="Z19" i="16"/>
  <c r="AB19" i="16"/>
  <c r="U19" i="16"/>
  <c r="I19" i="16"/>
  <c r="G19" i="16"/>
  <c r="E19" i="16"/>
  <c r="H19" i="16"/>
  <c r="C19" i="16"/>
  <c r="AF18" i="16"/>
  <c r="O18" i="16"/>
  <c r="U18" i="16"/>
  <c r="I18" i="16"/>
  <c r="K18" i="16"/>
  <c r="G18" i="16"/>
  <c r="E18" i="16"/>
  <c r="J18" i="16"/>
  <c r="W18" i="16"/>
  <c r="C18" i="16"/>
  <c r="AF17" i="16"/>
  <c r="U17" i="16"/>
  <c r="O17" i="16"/>
  <c r="J17" i="16"/>
  <c r="W17" i="16"/>
  <c r="I17" i="16"/>
  <c r="K17" i="16"/>
  <c r="H17" i="16"/>
  <c r="G17" i="16"/>
  <c r="E17" i="16"/>
  <c r="V17" i="16"/>
  <c r="C17" i="16"/>
  <c r="AF16" i="16"/>
  <c r="I16" i="16"/>
  <c r="K16" i="16"/>
  <c r="G16" i="16"/>
  <c r="E16" i="16"/>
  <c r="H16" i="16"/>
  <c r="C16" i="16"/>
  <c r="AF15" i="16"/>
  <c r="O15" i="16"/>
  <c r="U15" i="16"/>
  <c r="I15" i="16"/>
  <c r="K15" i="16"/>
  <c r="G15" i="16"/>
  <c r="E15" i="16"/>
  <c r="J15" i="16"/>
  <c r="W15" i="16"/>
  <c r="C15" i="16"/>
  <c r="AF14" i="16"/>
  <c r="U14" i="16"/>
  <c r="N14" i="16"/>
  <c r="J14" i="16"/>
  <c r="W14" i="16"/>
  <c r="I14" i="16"/>
  <c r="K14" i="16"/>
  <c r="H14" i="16"/>
  <c r="G14" i="16"/>
  <c r="E14" i="16"/>
  <c r="V14" i="16"/>
  <c r="C14" i="16"/>
  <c r="AF13" i="16"/>
  <c r="I13" i="16"/>
  <c r="K13" i="16"/>
  <c r="G13" i="16"/>
  <c r="E13" i="16"/>
  <c r="H13" i="16"/>
  <c r="C13" i="16"/>
  <c r="AF12" i="16"/>
  <c r="N12" i="16"/>
  <c r="U12" i="16"/>
  <c r="I12" i="16"/>
  <c r="K12" i="16"/>
  <c r="G12" i="16"/>
  <c r="E12" i="16"/>
  <c r="J12" i="16"/>
  <c r="W12" i="16"/>
  <c r="C12" i="16"/>
  <c r="K10" i="16"/>
  <c r="G10" i="16"/>
  <c r="E10" i="16"/>
  <c r="K7" i="16"/>
  <c r="I7" i="16"/>
  <c r="H7" i="16"/>
  <c r="G7" i="16"/>
  <c r="E7" i="16"/>
  <c r="J58" i="15"/>
  <c r="F58" i="15"/>
  <c r="AB30" i="15"/>
  <c r="AB29" i="15"/>
  <c r="J53" i="15"/>
  <c r="H53" i="15"/>
  <c r="Y40" i="15"/>
  <c r="Z40" i="15"/>
  <c r="U40" i="15"/>
  <c r="H40" i="15"/>
  <c r="I40" i="15"/>
  <c r="Z39" i="15"/>
  <c r="AA39" i="15"/>
  <c r="Y39" i="15"/>
  <c r="U39" i="15"/>
  <c r="H39" i="15"/>
  <c r="I39" i="15"/>
  <c r="Y38" i="15"/>
  <c r="Z38" i="15"/>
  <c r="U38" i="15"/>
  <c r="H38" i="15"/>
  <c r="I38" i="15"/>
  <c r="Z37" i="15"/>
  <c r="AA37" i="15"/>
  <c r="Y37" i="15"/>
  <c r="U37" i="15"/>
  <c r="H37" i="15"/>
  <c r="I37" i="15"/>
  <c r="Z36" i="15"/>
  <c r="AA36" i="15"/>
  <c r="Y36" i="15"/>
  <c r="U36" i="15"/>
  <c r="H36" i="15"/>
  <c r="I36" i="15"/>
  <c r="Y35" i="15"/>
  <c r="Z35" i="15"/>
  <c r="U35" i="15"/>
  <c r="H35" i="15"/>
  <c r="I35" i="15"/>
  <c r="X34" i="15"/>
  <c r="U34" i="15"/>
  <c r="M34" i="15"/>
  <c r="K34" i="15"/>
  <c r="H34" i="15"/>
  <c r="I34" i="15"/>
  <c r="U33" i="15"/>
  <c r="H33" i="15"/>
  <c r="I33" i="15"/>
  <c r="J33" i="15"/>
  <c r="U32" i="15"/>
  <c r="H32" i="15"/>
  <c r="I32" i="15"/>
  <c r="U31" i="15"/>
  <c r="H31" i="15"/>
  <c r="I31" i="15"/>
  <c r="U30" i="15"/>
  <c r="V30" i="15"/>
  <c r="H30" i="15"/>
  <c r="I30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U29" i="15"/>
  <c r="V29" i="15"/>
  <c r="G29" i="15"/>
  <c r="H29" i="15"/>
  <c r="B29" i="15"/>
  <c r="AF29" i="15"/>
  <c r="U28" i="15"/>
  <c r="AF27" i="15"/>
  <c r="Z27" i="15"/>
  <c r="AB27" i="15"/>
  <c r="U27" i="15"/>
  <c r="V27" i="15"/>
  <c r="G27" i="15"/>
  <c r="H27" i="15"/>
  <c r="I27" i="15"/>
  <c r="Z26" i="15"/>
  <c r="AB26" i="15"/>
  <c r="U26" i="15"/>
  <c r="V26" i="15"/>
  <c r="G26" i="15"/>
  <c r="H26" i="15"/>
  <c r="I26" i="15"/>
  <c r="D26" i="15"/>
  <c r="B26" i="15"/>
  <c r="AF26" i="15"/>
  <c r="AB25" i="15"/>
  <c r="Z25" i="15"/>
  <c r="AA25" i="15"/>
  <c r="U25" i="15"/>
  <c r="V25" i="15"/>
  <c r="G25" i="15"/>
  <c r="H25" i="15"/>
  <c r="I25" i="15"/>
  <c r="B25" i="15"/>
  <c r="AF25" i="15"/>
  <c r="Z24" i="15"/>
  <c r="AB24" i="15"/>
  <c r="U24" i="15"/>
  <c r="V24" i="15"/>
  <c r="G24" i="15"/>
  <c r="H24" i="15"/>
  <c r="I24" i="15"/>
  <c r="B24" i="15"/>
  <c r="AF24" i="15"/>
  <c r="AA23" i="15"/>
  <c r="Z23" i="15"/>
  <c r="AB23" i="15"/>
  <c r="U23" i="15"/>
  <c r="V23" i="15"/>
  <c r="G23" i="15"/>
  <c r="H23" i="15"/>
  <c r="I23" i="15"/>
  <c r="B23" i="15"/>
  <c r="AF23" i="15"/>
  <c r="AF22" i="15"/>
  <c r="AH22" i="15"/>
  <c r="Z22" i="15"/>
  <c r="AB22" i="15"/>
  <c r="W22" i="15"/>
  <c r="U22" i="15"/>
  <c r="V22" i="15"/>
  <c r="K22" i="15"/>
  <c r="M22" i="15"/>
  <c r="AG22" i="15"/>
  <c r="H22" i="15"/>
  <c r="I22" i="15"/>
  <c r="C22" i="15"/>
  <c r="B22" i="15"/>
  <c r="AF21" i="15"/>
  <c r="Z21" i="15"/>
  <c r="AA21" i="15"/>
  <c r="U21" i="15"/>
  <c r="V21" i="15"/>
  <c r="G21" i="15"/>
  <c r="H21" i="15"/>
  <c r="I21" i="15"/>
  <c r="C21" i="15"/>
  <c r="AF20" i="15"/>
  <c r="Z20" i="15"/>
  <c r="AB20" i="15"/>
  <c r="U20" i="15"/>
  <c r="I20" i="15"/>
  <c r="G20" i="15"/>
  <c r="E20" i="15"/>
  <c r="V20" i="15"/>
  <c r="C20" i="15"/>
  <c r="AF19" i="15"/>
  <c r="Z19" i="15"/>
  <c r="AA19" i="15"/>
  <c r="U19" i="15"/>
  <c r="I19" i="15"/>
  <c r="K19" i="15"/>
  <c r="M19" i="15"/>
  <c r="G19" i="15"/>
  <c r="E19" i="15"/>
  <c r="H19" i="15"/>
  <c r="C19" i="15"/>
  <c r="AF18" i="15"/>
  <c r="I18" i="15"/>
  <c r="K18" i="15"/>
  <c r="G18" i="15"/>
  <c r="E18" i="15"/>
  <c r="C18" i="15"/>
  <c r="AF17" i="15"/>
  <c r="I17" i="15"/>
  <c r="K17" i="15"/>
  <c r="H17" i="15"/>
  <c r="G17" i="15"/>
  <c r="E17" i="15"/>
  <c r="C17" i="15"/>
  <c r="AF16" i="15"/>
  <c r="I16" i="15"/>
  <c r="K16" i="15"/>
  <c r="G16" i="15"/>
  <c r="E16" i="15"/>
  <c r="C16" i="15"/>
  <c r="AF15" i="15"/>
  <c r="I15" i="15"/>
  <c r="K15" i="15"/>
  <c r="G15" i="15"/>
  <c r="E15" i="15"/>
  <c r="C15" i="15"/>
  <c r="AF14" i="15"/>
  <c r="I14" i="15"/>
  <c r="J14" i="15"/>
  <c r="G14" i="15"/>
  <c r="E14" i="15"/>
  <c r="H14" i="15"/>
  <c r="C14" i="15"/>
  <c r="AF13" i="15"/>
  <c r="I13" i="15"/>
  <c r="K13" i="15"/>
  <c r="G13" i="15"/>
  <c r="E13" i="15"/>
  <c r="H13" i="15"/>
  <c r="C13" i="15"/>
  <c r="AF12" i="15"/>
  <c r="I12" i="15"/>
  <c r="G12" i="15"/>
  <c r="E12" i="15"/>
  <c r="C12" i="15"/>
  <c r="K10" i="15"/>
  <c r="G10" i="15"/>
  <c r="E10" i="15"/>
  <c r="K7" i="15"/>
  <c r="I7" i="15"/>
  <c r="H7" i="15"/>
  <c r="G7" i="15"/>
  <c r="E7" i="15"/>
  <c r="Y35" i="13"/>
  <c r="Z35" i="13"/>
  <c r="AB35" i="13"/>
  <c r="Z29" i="13"/>
  <c r="AB29" i="13"/>
  <c r="AB40" i="13"/>
  <c r="AA40" i="13"/>
  <c r="Z40" i="13"/>
  <c r="Z39" i="13"/>
  <c r="AB39" i="13"/>
  <c r="Z38" i="13"/>
  <c r="AB38" i="13"/>
  <c r="Z37" i="13"/>
  <c r="AB37" i="13"/>
  <c r="AB36" i="13"/>
  <c r="AA36" i="13"/>
  <c r="Z36" i="13"/>
  <c r="Z30" i="13"/>
  <c r="AB30" i="13"/>
  <c r="Y40" i="13"/>
  <c r="Y39" i="13"/>
  <c r="Y38" i="13"/>
  <c r="Y37" i="13"/>
  <c r="Y36" i="13"/>
  <c r="W30" i="13"/>
  <c r="V30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H36" i="13"/>
  <c r="I36" i="13"/>
  <c r="H37" i="13"/>
  <c r="I37" i="13"/>
  <c r="J37" i="13"/>
  <c r="K37" i="13"/>
  <c r="X37" i="13"/>
  <c r="M37" i="13"/>
  <c r="H38" i="13"/>
  <c r="I38" i="13"/>
  <c r="H39" i="13"/>
  <c r="I39" i="13"/>
  <c r="K39" i="13"/>
  <c r="H40" i="13"/>
  <c r="I40" i="13"/>
  <c r="H35" i="13"/>
  <c r="I35" i="13"/>
  <c r="J53" i="13"/>
  <c r="H58" i="13"/>
  <c r="H53" i="13"/>
  <c r="L43" i="13"/>
  <c r="K34" i="13"/>
  <c r="X34" i="13"/>
  <c r="H34" i="13"/>
  <c r="I34" i="13"/>
  <c r="H33" i="13"/>
  <c r="I33" i="13"/>
  <c r="J33" i="13"/>
  <c r="H32" i="13"/>
  <c r="I32" i="13"/>
  <c r="H31" i="13"/>
  <c r="I31" i="13"/>
  <c r="J31" i="13"/>
  <c r="H30" i="13"/>
  <c r="I30" i="13"/>
  <c r="J30" i="13"/>
  <c r="A30" i="13"/>
  <c r="A31" i="13"/>
  <c r="A32" i="13"/>
  <c r="A33" i="13"/>
  <c r="A34" i="13"/>
  <c r="A35" i="13"/>
  <c r="A36" i="13"/>
  <c r="A37" i="13"/>
  <c r="A38" i="13"/>
  <c r="A39" i="13"/>
  <c r="A40" i="13"/>
  <c r="G29" i="13"/>
  <c r="H29" i="13"/>
  <c r="I29" i="13"/>
  <c r="B29" i="13"/>
  <c r="AF29" i="13"/>
  <c r="AF27" i="13"/>
  <c r="AA27" i="13"/>
  <c r="Z27" i="13"/>
  <c r="AB27" i="13"/>
  <c r="U27" i="13"/>
  <c r="V27" i="13"/>
  <c r="G27" i="13"/>
  <c r="H27" i="13"/>
  <c r="I27" i="13"/>
  <c r="Z26" i="13"/>
  <c r="AA26" i="13"/>
  <c r="U26" i="13"/>
  <c r="V26" i="13"/>
  <c r="G26" i="13"/>
  <c r="H26" i="13"/>
  <c r="I26" i="13"/>
  <c r="D26" i="13"/>
  <c r="B26" i="13"/>
  <c r="AF26" i="13"/>
  <c r="Z25" i="13"/>
  <c r="AB25" i="13"/>
  <c r="U25" i="13"/>
  <c r="V25" i="13"/>
  <c r="G25" i="13"/>
  <c r="H25" i="13"/>
  <c r="I25" i="13"/>
  <c r="B25" i="13"/>
  <c r="AF25" i="13"/>
  <c r="Z24" i="13"/>
  <c r="AB24" i="13"/>
  <c r="U24" i="13"/>
  <c r="V24" i="13"/>
  <c r="G24" i="13"/>
  <c r="H24" i="13"/>
  <c r="I24" i="13"/>
  <c r="B24" i="13"/>
  <c r="AF24" i="13"/>
  <c r="Z23" i="13"/>
  <c r="AA23" i="13"/>
  <c r="U23" i="13"/>
  <c r="V23" i="13"/>
  <c r="G23" i="13"/>
  <c r="H23" i="13"/>
  <c r="I23" i="13"/>
  <c r="B23" i="13"/>
  <c r="AF23" i="13"/>
  <c r="Z22" i="13"/>
  <c r="AB22" i="13"/>
  <c r="V22" i="13"/>
  <c r="U22" i="13"/>
  <c r="W22" i="13"/>
  <c r="K22" i="13"/>
  <c r="M22" i="13"/>
  <c r="AG22" i="13"/>
  <c r="H22" i="13"/>
  <c r="I22" i="13"/>
  <c r="C22" i="13"/>
  <c r="B22" i="13"/>
  <c r="AF22" i="13"/>
  <c r="AF21" i="13"/>
  <c r="Z21" i="13"/>
  <c r="AB21" i="13"/>
  <c r="U21" i="13"/>
  <c r="V21" i="13"/>
  <c r="G21" i="13"/>
  <c r="H21" i="13"/>
  <c r="I21" i="13"/>
  <c r="C21" i="13"/>
  <c r="AF20" i="13"/>
  <c r="Z20" i="13"/>
  <c r="AA20" i="13"/>
  <c r="U20" i="13"/>
  <c r="I20" i="13"/>
  <c r="K20" i="13"/>
  <c r="G20" i="13"/>
  <c r="E20" i="13"/>
  <c r="C20" i="13"/>
  <c r="AF19" i="13"/>
  <c r="Z19" i="13"/>
  <c r="AB19" i="13"/>
  <c r="U19" i="13"/>
  <c r="I19" i="13"/>
  <c r="G19" i="13"/>
  <c r="E19" i="13"/>
  <c r="H19" i="13"/>
  <c r="C19" i="13"/>
  <c r="AF18" i="13"/>
  <c r="I18" i="13"/>
  <c r="G18" i="13"/>
  <c r="E18" i="13"/>
  <c r="O18" i="13"/>
  <c r="U18" i="13"/>
  <c r="C18" i="13"/>
  <c r="AF17" i="13"/>
  <c r="I17" i="13"/>
  <c r="G17" i="13"/>
  <c r="E17" i="13"/>
  <c r="O17" i="13"/>
  <c r="U17" i="13"/>
  <c r="C17" i="13"/>
  <c r="AF16" i="13"/>
  <c r="I16" i="13"/>
  <c r="J16" i="13"/>
  <c r="G16" i="13"/>
  <c r="E16" i="13"/>
  <c r="C16" i="13"/>
  <c r="AF15" i="13"/>
  <c r="I15" i="13"/>
  <c r="K15" i="13"/>
  <c r="G15" i="13"/>
  <c r="E15" i="13"/>
  <c r="O15" i="13"/>
  <c r="U15" i="13"/>
  <c r="C15" i="13"/>
  <c r="AF14" i="13"/>
  <c r="I14" i="13"/>
  <c r="K14" i="13"/>
  <c r="G14" i="13"/>
  <c r="E14" i="13"/>
  <c r="N14" i="13"/>
  <c r="U14" i="13"/>
  <c r="C14" i="13"/>
  <c r="AF13" i="13"/>
  <c r="I13" i="13"/>
  <c r="J13" i="13"/>
  <c r="G13" i="13"/>
  <c r="E13" i="13"/>
  <c r="C13" i="13"/>
  <c r="AF12" i="13"/>
  <c r="I12" i="13"/>
  <c r="K12" i="13"/>
  <c r="G12" i="13"/>
  <c r="E12" i="13"/>
  <c r="N12" i="13"/>
  <c r="U12" i="13"/>
  <c r="C12" i="13"/>
  <c r="K10" i="13"/>
  <c r="G10" i="13"/>
  <c r="E10" i="13"/>
  <c r="K7" i="13"/>
  <c r="I7" i="13"/>
  <c r="H7" i="13"/>
  <c r="G7" i="13"/>
  <c r="E7" i="13"/>
  <c r="K56" i="12"/>
  <c r="K49" i="12"/>
  <c r="L49" i="12"/>
  <c r="K54" i="12"/>
  <c r="I44" i="6"/>
  <c r="I44" i="12"/>
  <c r="G44" i="12"/>
  <c r="AI19" i="19"/>
  <c r="AJ19" i="19"/>
  <c r="K45" i="19"/>
  <c r="I63" i="19"/>
  <c r="Y16" i="19"/>
  <c r="K78" i="19"/>
  <c r="H45" i="19"/>
  <c r="X13" i="19"/>
  <c r="Y13" i="19"/>
  <c r="Y19" i="19"/>
  <c r="L73" i="19"/>
  <c r="L74" i="19"/>
  <c r="X18" i="19"/>
  <c r="Y18" i="19"/>
  <c r="X15" i="19"/>
  <c r="Y17" i="19"/>
  <c r="M17" i="19"/>
  <c r="AI17" i="19"/>
  <c r="AJ17" i="19"/>
  <c r="M29" i="19"/>
  <c r="Y29" i="19"/>
  <c r="X12" i="19"/>
  <c r="M24" i="19"/>
  <c r="AI24" i="19"/>
  <c r="AJ24" i="19"/>
  <c r="Y24" i="19"/>
  <c r="Y14" i="19"/>
  <c r="M14" i="19"/>
  <c r="AI14" i="19"/>
  <c r="AJ14" i="19"/>
  <c r="Y25" i="19"/>
  <c r="M25" i="19"/>
  <c r="AI25" i="19"/>
  <c r="AJ25" i="19"/>
  <c r="M30" i="19"/>
  <c r="Y30" i="19"/>
  <c r="Y23" i="19"/>
  <c r="AI23" i="19"/>
  <c r="AJ23" i="19"/>
  <c r="M26" i="19"/>
  <c r="AI26" i="19"/>
  <c r="Y26" i="19"/>
  <c r="M15" i="19"/>
  <c r="AI15" i="19"/>
  <c r="AJ15" i="19"/>
  <c r="M12" i="19"/>
  <c r="M45" i="19"/>
  <c r="M21" i="19"/>
  <c r="AI21" i="19"/>
  <c r="AJ21" i="19"/>
  <c r="Y21" i="19"/>
  <c r="J72" i="17"/>
  <c r="J74" i="17"/>
  <c r="Y25" i="17"/>
  <c r="Y33" i="17"/>
  <c r="H45" i="17"/>
  <c r="X17" i="17"/>
  <c r="K45" i="17"/>
  <c r="X13" i="17"/>
  <c r="Y13" i="17"/>
  <c r="Y30" i="17"/>
  <c r="X14" i="17"/>
  <c r="Y14" i="17"/>
  <c r="Y17" i="17"/>
  <c r="X12" i="17"/>
  <c r="G49" i="17"/>
  <c r="K49" i="17"/>
  <c r="M31" i="17"/>
  <c r="Y31" i="17"/>
  <c r="X15" i="17"/>
  <c r="Y15" i="17"/>
  <c r="X16" i="17"/>
  <c r="Y16" i="17"/>
  <c r="X18" i="17"/>
  <c r="Y18" i="17"/>
  <c r="M36" i="17"/>
  <c r="Y36" i="17"/>
  <c r="AH19" i="17"/>
  <c r="AI19" i="17"/>
  <c r="M41" i="17"/>
  <c r="Y41" i="17"/>
  <c r="M21" i="17"/>
  <c r="AH21" i="17"/>
  <c r="AI21" i="17"/>
  <c r="Y21" i="17"/>
  <c r="Y26" i="17"/>
  <c r="M26" i="17"/>
  <c r="AH26" i="17"/>
  <c r="I62" i="17"/>
  <c r="M39" i="17"/>
  <c r="Y39" i="17"/>
  <c r="Y27" i="17"/>
  <c r="M27" i="17"/>
  <c r="AH27" i="17"/>
  <c r="AI27" i="17"/>
  <c r="M37" i="17"/>
  <c r="Y37" i="17"/>
  <c r="M12" i="17"/>
  <c r="M23" i="17"/>
  <c r="AH23" i="17"/>
  <c r="AI23" i="17"/>
  <c r="Y23" i="17"/>
  <c r="M40" i="17"/>
  <c r="Y40" i="17"/>
  <c r="M35" i="17"/>
  <c r="Y35" i="17"/>
  <c r="Y20" i="17"/>
  <c r="M20" i="17"/>
  <c r="AH20" i="17"/>
  <c r="AI20" i="17"/>
  <c r="M38" i="17"/>
  <c r="Y38" i="17"/>
  <c r="M29" i="17"/>
  <c r="Y29" i="17"/>
  <c r="Y24" i="17"/>
  <c r="M24" i="17"/>
  <c r="AH24" i="17"/>
  <c r="AI24" i="17"/>
  <c r="M32" i="17"/>
  <c r="Y32" i="17"/>
  <c r="AA38" i="15"/>
  <c r="AB38" i="15"/>
  <c r="AA35" i="15"/>
  <c r="AB35" i="15"/>
  <c r="AA40" i="15"/>
  <c r="AB40" i="15"/>
  <c r="AB36" i="15"/>
  <c r="AB39" i="15"/>
  <c r="I51" i="15"/>
  <c r="V19" i="15"/>
  <c r="N14" i="15"/>
  <c r="U14" i="15"/>
  <c r="W14" i="15"/>
  <c r="X14" i="15"/>
  <c r="AB19" i="15"/>
  <c r="K14" i="15"/>
  <c r="AB21" i="15"/>
  <c r="AB37" i="15"/>
  <c r="J17" i="15"/>
  <c r="O17" i="15"/>
  <c r="U17" i="15"/>
  <c r="V17" i="15"/>
  <c r="F48" i="15"/>
  <c r="F47" i="15"/>
  <c r="F53" i="15"/>
  <c r="H16" i="15"/>
  <c r="AA20" i="15"/>
  <c r="I29" i="15"/>
  <c r="K29" i="15"/>
  <c r="M41" i="16"/>
  <c r="X41" i="16"/>
  <c r="AB39" i="16"/>
  <c r="AA39" i="16"/>
  <c r="AH15" i="16"/>
  <c r="I48" i="16"/>
  <c r="K31" i="16"/>
  <c r="J31" i="16"/>
  <c r="AB37" i="16"/>
  <c r="AA37" i="16"/>
  <c r="M17" i="16"/>
  <c r="AG17" i="16"/>
  <c r="AH17" i="16"/>
  <c r="X17" i="16"/>
  <c r="M12" i="16"/>
  <c r="X12" i="16"/>
  <c r="X14" i="16"/>
  <c r="M14" i="16"/>
  <c r="AG14" i="16"/>
  <c r="AH14" i="16"/>
  <c r="AH20" i="16"/>
  <c r="K24" i="16"/>
  <c r="J24" i="16"/>
  <c r="W24" i="16"/>
  <c r="J29" i="16"/>
  <c r="W29" i="16"/>
  <c r="I50" i="16"/>
  <c r="K29" i="16"/>
  <c r="K32" i="16"/>
  <c r="J32" i="16"/>
  <c r="K26" i="16"/>
  <c r="J26" i="16"/>
  <c r="W26" i="16"/>
  <c r="AB35" i="16"/>
  <c r="AA35" i="16"/>
  <c r="M16" i="16"/>
  <c r="AG16" i="16"/>
  <c r="K21" i="16"/>
  <c r="J21" i="16"/>
  <c r="W21" i="16"/>
  <c r="AB40" i="16"/>
  <c r="AA40" i="16"/>
  <c r="AH16" i="16"/>
  <c r="M33" i="16"/>
  <c r="X33" i="16"/>
  <c r="M18" i="16"/>
  <c r="AG18" i="16"/>
  <c r="AH18" i="16"/>
  <c r="X18" i="16"/>
  <c r="AB38" i="16"/>
  <c r="AA38" i="16"/>
  <c r="M15" i="16"/>
  <c r="AG15" i="16"/>
  <c r="X15" i="16"/>
  <c r="K30" i="16"/>
  <c r="J30" i="16"/>
  <c r="W30" i="16"/>
  <c r="M13" i="16"/>
  <c r="AG13" i="16"/>
  <c r="K23" i="16"/>
  <c r="J23" i="16"/>
  <c r="W23" i="16"/>
  <c r="I49" i="16"/>
  <c r="K27" i="16"/>
  <c r="J27" i="16"/>
  <c r="W27" i="16"/>
  <c r="AB36" i="16"/>
  <c r="AA36" i="16"/>
  <c r="AH13" i="16"/>
  <c r="K25" i="16"/>
  <c r="J25" i="16"/>
  <c r="W25" i="16"/>
  <c r="J13" i="16"/>
  <c r="W13" i="16"/>
  <c r="G47" i="16"/>
  <c r="J16" i="16"/>
  <c r="J19" i="16"/>
  <c r="W19" i="16"/>
  <c r="AA27" i="16"/>
  <c r="M35" i="16"/>
  <c r="M36" i="16"/>
  <c r="M37" i="16"/>
  <c r="M38" i="16"/>
  <c r="M39" i="16"/>
  <c r="M40" i="16"/>
  <c r="V12" i="16"/>
  <c r="V15" i="16"/>
  <c r="V18" i="16"/>
  <c r="K19" i="16"/>
  <c r="N13" i="16"/>
  <c r="U13" i="16"/>
  <c r="V13" i="16"/>
  <c r="O16" i="16"/>
  <c r="U16" i="16"/>
  <c r="F47" i="16"/>
  <c r="V19" i="16"/>
  <c r="H20" i="16"/>
  <c r="AA23" i="16"/>
  <c r="I51" i="16"/>
  <c r="V16" i="16"/>
  <c r="H12" i="16"/>
  <c r="H15" i="16"/>
  <c r="H18" i="16"/>
  <c r="J20" i="16"/>
  <c r="W20" i="16"/>
  <c r="X20" i="16"/>
  <c r="AA21" i="16"/>
  <c r="V22" i="16"/>
  <c r="J33" i="16"/>
  <c r="F48" i="16"/>
  <c r="AA29" i="15"/>
  <c r="M15" i="15"/>
  <c r="AG15" i="15"/>
  <c r="AH15" i="15"/>
  <c r="J31" i="15"/>
  <c r="K31" i="15"/>
  <c r="K35" i="15"/>
  <c r="J35" i="15"/>
  <c r="J24" i="15"/>
  <c r="W24" i="15"/>
  <c r="K24" i="15"/>
  <c r="K32" i="15"/>
  <c r="J32" i="15"/>
  <c r="K26" i="15"/>
  <c r="J26" i="15"/>
  <c r="W26" i="15"/>
  <c r="K38" i="15"/>
  <c r="J38" i="15"/>
  <c r="K37" i="15"/>
  <c r="J37" i="15"/>
  <c r="K40" i="15"/>
  <c r="J40" i="15"/>
  <c r="M16" i="15"/>
  <c r="AG16" i="15"/>
  <c r="AH16" i="15"/>
  <c r="K36" i="15"/>
  <c r="J36" i="15"/>
  <c r="X19" i="15"/>
  <c r="M18" i="15"/>
  <c r="AG18" i="15"/>
  <c r="AH18" i="15"/>
  <c r="K25" i="15"/>
  <c r="J25" i="15"/>
  <c r="W25" i="15"/>
  <c r="K23" i="15"/>
  <c r="I49" i="15"/>
  <c r="J23" i="15"/>
  <c r="W23" i="15"/>
  <c r="K27" i="15"/>
  <c r="J27" i="15"/>
  <c r="W27" i="15"/>
  <c r="K30" i="15"/>
  <c r="J30" i="15"/>
  <c r="W30" i="15"/>
  <c r="K39" i="15"/>
  <c r="J39" i="15"/>
  <c r="K21" i="15"/>
  <c r="J21" i="15"/>
  <c r="W21" i="15"/>
  <c r="M13" i="15"/>
  <c r="AG13" i="15"/>
  <c r="AH13" i="15"/>
  <c r="V15" i="15"/>
  <c r="N13" i="15"/>
  <c r="U13" i="15"/>
  <c r="V13" i="15"/>
  <c r="O16" i="15"/>
  <c r="U16" i="15"/>
  <c r="V16" i="15"/>
  <c r="H12" i="15"/>
  <c r="M14" i="15"/>
  <c r="AG14" i="15"/>
  <c r="AH14" i="15"/>
  <c r="H15" i="15"/>
  <c r="M17" i="15"/>
  <c r="AG17" i="15"/>
  <c r="AH17" i="15"/>
  <c r="H18" i="15"/>
  <c r="J20" i="15"/>
  <c r="W20" i="15"/>
  <c r="K33" i="15"/>
  <c r="I48" i="15"/>
  <c r="K20" i="15"/>
  <c r="H20" i="15"/>
  <c r="J12" i="15"/>
  <c r="J15" i="15"/>
  <c r="W15" i="15"/>
  <c r="J18" i="15"/>
  <c r="AA26" i="15"/>
  <c r="AA30" i="15"/>
  <c r="K12" i="15"/>
  <c r="X22" i="15"/>
  <c r="AA24" i="15"/>
  <c r="N12" i="15"/>
  <c r="U12" i="15"/>
  <c r="V12" i="15"/>
  <c r="O15" i="15"/>
  <c r="U15" i="15"/>
  <c r="O18" i="15"/>
  <c r="U18" i="15"/>
  <c r="V18" i="15"/>
  <c r="AG19" i="15"/>
  <c r="AH19" i="15"/>
  <c r="AA22" i="15"/>
  <c r="J13" i="15"/>
  <c r="W13" i="15"/>
  <c r="X13" i="15"/>
  <c r="J16" i="15"/>
  <c r="J19" i="15"/>
  <c r="W19" i="15"/>
  <c r="AA27" i="15"/>
  <c r="AA29" i="13"/>
  <c r="AA37" i="13"/>
  <c r="AA30" i="13"/>
  <c r="AA38" i="13"/>
  <c r="AA35" i="13"/>
  <c r="AA39" i="13"/>
  <c r="J38" i="13"/>
  <c r="K38" i="13"/>
  <c r="M39" i="13"/>
  <c r="X39" i="13"/>
  <c r="J36" i="13"/>
  <c r="K36" i="13"/>
  <c r="J39" i="13"/>
  <c r="AB23" i="13"/>
  <c r="AA25" i="13"/>
  <c r="AB20" i="13"/>
  <c r="J19" i="13"/>
  <c r="W19" i="13"/>
  <c r="X22" i="13"/>
  <c r="J17" i="13"/>
  <c r="W17" i="13"/>
  <c r="X17" i="13"/>
  <c r="M34" i="13"/>
  <c r="K17" i="13"/>
  <c r="M17" i="13"/>
  <c r="AG17" i="13"/>
  <c r="AH17" i="13"/>
  <c r="AA22" i="13"/>
  <c r="V20" i="13"/>
  <c r="H16" i="13"/>
  <c r="J18" i="13"/>
  <c r="W18" i="13"/>
  <c r="K40" i="13"/>
  <c r="J40" i="13"/>
  <c r="J27" i="13"/>
  <c r="W27" i="13"/>
  <c r="K27" i="13"/>
  <c r="M27" i="13"/>
  <c r="AG27" i="13"/>
  <c r="AH22" i="13"/>
  <c r="H14" i="13"/>
  <c r="J14" i="13"/>
  <c r="W14" i="13"/>
  <c r="X14" i="13"/>
  <c r="AA21" i="13"/>
  <c r="K31" i="13"/>
  <c r="AH27" i="13"/>
  <c r="V17" i="13"/>
  <c r="H13" i="13"/>
  <c r="H17" i="13"/>
  <c r="K33" i="13"/>
  <c r="K35" i="13"/>
  <c r="K61" i="13"/>
  <c r="J35" i="13"/>
  <c r="K24" i="13"/>
  <c r="J24" i="13"/>
  <c r="W24" i="13"/>
  <c r="W13" i="13"/>
  <c r="K29" i="13"/>
  <c r="J29" i="13"/>
  <c r="I50" i="13"/>
  <c r="M15" i="13"/>
  <c r="AG15" i="13"/>
  <c r="AH15" i="13"/>
  <c r="J26" i="13"/>
  <c r="W26" i="13"/>
  <c r="K26" i="13"/>
  <c r="X35" i="13"/>
  <c r="M35" i="13"/>
  <c r="K32" i="13"/>
  <c r="J32" i="13"/>
  <c r="K25" i="13"/>
  <c r="J25" i="13"/>
  <c r="W25" i="13"/>
  <c r="V14" i="13"/>
  <c r="I49" i="13"/>
  <c r="K21" i="13"/>
  <c r="J21" i="13"/>
  <c r="W21" i="13"/>
  <c r="M14" i="13"/>
  <c r="AG14" i="13"/>
  <c r="AH14" i="13"/>
  <c r="X20" i="13"/>
  <c r="M12" i="13"/>
  <c r="J12" i="13"/>
  <c r="W12" i="13"/>
  <c r="X12" i="13"/>
  <c r="V12" i="13"/>
  <c r="K13" i="13"/>
  <c r="V15" i="13"/>
  <c r="K16" i="13"/>
  <c r="V18" i="13"/>
  <c r="K19" i="13"/>
  <c r="N13" i="13"/>
  <c r="U13" i="13"/>
  <c r="V13" i="13"/>
  <c r="O16" i="13"/>
  <c r="U16" i="13"/>
  <c r="V16" i="13"/>
  <c r="F47" i="13"/>
  <c r="V19" i="13"/>
  <c r="H20" i="13"/>
  <c r="I51" i="13"/>
  <c r="H12" i="13"/>
  <c r="H15" i="13"/>
  <c r="H18" i="13"/>
  <c r="J20" i="13"/>
  <c r="W20" i="13"/>
  <c r="F48" i="13"/>
  <c r="J15" i="13"/>
  <c r="W15" i="13"/>
  <c r="AA19" i="13"/>
  <c r="M20" i="13"/>
  <c r="AG20" i="13"/>
  <c r="AH20" i="13"/>
  <c r="K30" i="13"/>
  <c r="I43" i="13"/>
  <c r="K18" i="13"/>
  <c r="K23" i="13"/>
  <c r="AA24" i="13"/>
  <c r="AB26" i="13"/>
  <c r="I48" i="13"/>
  <c r="J23" i="13"/>
  <c r="W23" i="13"/>
  <c r="K51" i="12"/>
  <c r="K53" i="12"/>
  <c r="J46" i="12"/>
  <c r="H51" i="12"/>
  <c r="H46" i="12"/>
  <c r="L36" i="12"/>
  <c r="K34" i="12"/>
  <c r="X34" i="12"/>
  <c r="H34" i="12"/>
  <c r="I34" i="12"/>
  <c r="H33" i="12"/>
  <c r="I33" i="12"/>
  <c r="K32" i="12"/>
  <c r="X32" i="12"/>
  <c r="I32" i="12"/>
  <c r="J32" i="12"/>
  <c r="H32" i="12"/>
  <c r="H31" i="12"/>
  <c r="I31" i="12"/>
  <c r="A31" i="12"/>
  <c r="A32" i="12"/>
  <c r="A33" i="12"/>
  <c r="H30" i="12"/>
  <c r="I30" i="12"/>
  <c r="A30" i="12"/>
  <c r="G29" i="12"/>
  <c r="H29" i="12"/>
  <c r="I29" i="12"/>
  <c r="B29" i="12"/>
  <c r="AF29" i="12"/>
  <c r="AF27" i="12"/>
  <c r="Z27" i="12"/>
  <c r="AB27" i="12"/>
  <c r="V27" i="12"/>
  <c r="U27" i="12"/>
  <c r="H27" i="12"/>
  <c r="I27" i="12"/>
  <c r="G27" i="12"/>
  <c r="AF26" i="12"/>
  <c r="AA26" i="12"/>
  <c r="Z26" i="12"/>
  <c r="AB26" i="12"/>
  <c r="U26" i="12"/>
  <c r="V26" i="12"/>
  <c r="H26" i="12"/>
  <c r="I26" i="12"/>
  <c r="G26" i="12"/>
  <c r="D26" i="12"/>
  <c r="B26" i="12"/>
  <c r="AA25" i="12"/>
  <c r="Z25" i="12"/>
  <c r="AB25" i="12"/>
  <c r="V25" i="12"/>
  <c r="U25" i="12"/>
  <c r="G25" i="12"/>
  <c r="H25" i="12"/>
  <c r="I25" i="12"/>
  <c r="B25" i="12"/>
  <c r="AF25" i="12"/>
  <c r="AF24" i="12"/>
  <c r="Z24" i="12"/>
  <c r="AB24" i="12"/>
  <c r="U24" i="12"/>
  <c r="V24" i="12"/>
  <c r="G24" i="12"/>
  <c r="H24" i="12"/>
  <c r="I24" i="12"/>
  <c r="B24" i="12"/>
  <c r="Z23" i="12"/>
  <c r="AB23" i="12"/>
  <c r="U23" i="12"/>
  <c r="V23" i="12"/>
  <c r="G23" i="12"/>
  <c r="H23" i="12"/>
  <c r="I23" i="12"/>
  <c r="B23" i="12"/>
  <c r="AF23" i="12"/>
  <c r="Z22" i="12"/>
  <c r="AB22" i="12"/>
  <c r="W22" i="12"/>
  <c r="U22" i="12"/>
  <c r="V22" i="12"/>
  <c r="K22" i="12"/>
  <c r="M22" i="12"/>
  <c r="AG22" i="12"/>
  <c r="H22" i="12"/>
  <c r="I22" i="12"/>
  <c r="C22" i="12"/>
  <c r="B22" i="12"/>
  <c r="AF22" i="12"/>
  <c r="AF21" i="12"/>
  <c r="AB21" i="12"/>
  <c r="Z21" i="12"/>
  <c r="AA21" i="12"/>
  <c r="U21" i="12"/>
  <c r="V21" i="12"/>
  <c r="G21" i="12"/>
  <c r="H21" i="12"/>
  <c r="I21" i="12"/>
  <c r="C21" i="12"/>
  <c r="AF20" i="12"/>
  <c r="AA20" i="12"/>
  <c r="Z20" i="12"/>
  <c r="AB20" i="12"/>
  <c r="V20" i="12"/>
  <c r="U20" i="12"/>
  <c r="I20" i="12"/>
  <c r="K20" i="12"/>
  <c r="G20" i="12"/>
  <c r="E20" i="12"/>
  <c r="H20" i="12"/>
  <c r="C20" i="12"/>
  <c r="AF19" i="12"/>
  <c r="AB19" i="12"/>
  <c r="AA19" i="12"/>
  <c r="Z19" i="12"/>
  <c r="U19" i="12"/>
  <c r="I19" i="12"/>
  <c r="I41" i="12"/>
  <c r="G19" i="12"/>
  <c r="E19" i="12"/>
  <c r="V19" i="12"/>
  <c r="C19" i="12"/>
  <c r="AF18" i="12"/>
  <c r="O18" i="12"/>
  <c r="U18" i="12"/>
  <c r="J18" i="12"/>
  <c r="W18" i="12"/>
  <c r="I18" i="12"/>
  <c r="K18" i="12"/>
  <c r="G18" i="12"/>
  <c r="E18" i="12"/>
  <c r="H18" i="12"/>
  <c r="C18" i="12"/>
  <c r="AF17" i="12"/>
  <c r="U17" i="12"/>
  <c r="O17" i="12"/>
  <c r="K17" i="12"/>
  <c r="M17" i="12"/>
  <c r="AG17" i="12"/>
  <c r="AH17" i="12"/>
  <c r="I17" i="12"/>
  <c r="J17" i="12"/>
  <c r="W17" i="12"/>
  <c r="H17" i="12"/>
  <c r="G17" i="12"/>
  <c r="E17" i="12"/>
  <c r="V17" i="12"/>
  <c r="C17" i="12"/>
  <c r="AF16" i="12"/>
  <c r="I16" i="12"/>
  <c r="K16" i="12"/>
  <c r="G16" i="12"/>
  <c r="E16" i="12"/>
  <c r="C16" i="12"/>
  <c r="AF15" i="12"/>
  <c r="O15" i="12"/>
  <c r="U15" i="12"/>
  <c r="J15" i="12"/>
  <c r="W15" i="12"/>
  <c r="I15" i="12"/>
  <c r="F41" i="12"/>
  <c r="G15" i="12"/>
  <c r="E15" i="12"/>
  <c r="H15" i="12"/>
  <c r="C15" i="12"/>
  <c r="AF14" i="12"/>
  <c r="U14" i="12"/>
  <c r="N14" i="12"/>
  <c r="K14" i="12"/>
  <c r="M14" i="12"/>
  <c r="AG14" i="12"/>
  <c r="AH14" i="12"/>
  <c r="I14" i="12"/>
  <c r="J14" i="12"/>
  <c r="W14" i="12"/>
  <c r="G14" i="12"/>
  <c r="E14" i="12"/>
  <c r="H14" i="12"/>
  <c r="C14" i="12"/>
  <c r="AF13" i="12"/>
  <c r="I13" i="12"/>
  <c r="K13" i="12"/>
  <c r="G13" i="12"/>
  <c r="E13" i="12"/>
  <c r="C13" i="12"/>
  <c r="AF12" i="12"/>
  <c r="N12" i="12"/>
  <c r="U12" i="12"/>
  <c r="J12" i="12"/>
  <c r="W12" i="12"/>
  <c r="I12" i="12"/>
  <c r="I36" i="12"/>
  <c r="G12" i="12"/>
  <c r="E12" i="12"/>
  <c r="H12" i="12"/>
  <c r="C12" i="12"/>
  <c r="K10" i="12"/>
  <c r="G10" i="12"/>
  <c r="E10" i="12"/>
  <c r="K7" i="12"/>
  <c r="I7" i="12"/>
  <c r="H7" i="12"/>
  <c r="G7" i="12"/>
  <c r="E7" i="12"/>
  <c r="G44" i="6"/>
  <c r="I43" i="11"/>
  <c r="G43" i="11"/>
  <c r="H45" i="11"/>
  <c r="J45" i="11"/>
  <c r="K50" i="6"/>
  <c r="I43" i="6"/>
  <c r="K34" i="6"/>
  <c r="L36" i="6"/>
  <c r="H34" i="6"/>
  <c r="I34" i="6"/>
  <c r="J46" i="6"/>
  <c r="H51" i="6"/>
  <c r="A30" i="6"/>
  <c r="A31" i="6"/>
  <c r="A32" i="6"/>
  <c r="A33" i="6"/>
  <c r="L35" i="11"/>
  <c r="G29" i="11"/>
  <c r="H29" i="11"/>
  <c r="I29" i="11"/>
  <c r="B29" i="11"/>
  <c r="AF29" i="11"/>
  <c r="AF27" i="11"/>
  <c r="Z27" i="11"/>
  <c r="AB27" i="11"/>
  <c r="U27" i="11"/>
  <c r="V27" i="11"/>
  <c r="G27" i="11"/>
  <c r="H27" i="11"/>
  <c r="I27" i="11"/>
  <c r="Z26" i="11"/>
  <c r="AB26" i="11"/>
  <c r="U26" i="11"/>
  <c r="V26" i="11"/>
  <c r="G26" i="11"/>
  <c r="H26" i="11"/>
  <c r="I26" i="11"/>
  <c r="H52" i="11"/>
  <c r="D26" i="11"/>
  <c r="B26" i="11"/>
  <c r="AF26" i="11"/>
  <c r="Z25" i="11"/>
  <c r="AB25" i="11"/>
  <c r="U25" i="11"/>
  <c r="V25" i="11"/>
  <c r="G25" i="11"/>
  <c r="H25" i="11"/>
  <c r="I25" i="11"/>
  <c r="B25" i="11"/>
  <c r="AF25" i="11"/>
  <c r="Z24" i="11"/>
  <c r="AB24" i="11"/>
  <c r="U24" i="11"/>
  <c r="V24" i="11"/>
  <c r="G24" i="11"/>
  <c r="H24" i="11"/>
  <c r="I24" i="11"/>
  <c r="B24" i="11"/>
  <c r="AF24" i="11"/>
  <c r="Z23" i="11"/>
  <c r="AB23" i="11"/>
  <c r="U23" i="11"/>
  <c r="V23" i="11"/>
  <c r="G23" i="11"/>
  <c r="H23" i="11"/>
  <c r="I23" i="11"/>
  <c r="B23" i="11"/>
  <c r="AF23" i="11"/>
  <c r="Z22" i="11"/>
  <c r="AA22" i="11"/>
  <c r="U22" i="11"/>
  <c r="W22" i="11"/>
  <c r="K22" i="11"/>
  <c r="M22" i="11"/>
  <c r="AG22" i="11"/>
  <c r="H22" i="11"/>
  <c r="I22" i="11"/>
  <c r="C22" i="11"/>
  <c r="B22" i="11"/>
  <c r="AF22" i="11"/>
  <c r="AF21" i="11"/>
  <c r="Z21" i="11"/>
  <c r="AB21" i="11"/>
  <c r="U21" i="11"/>
  <c r="V21" i="11"/>
  <c r="G21" i="11"/>
  <c r="H21" i="11"/>
  <c r="I21" i="11"/>
  <c r="C21" i="11"/>
  <c r="AF20" i="11"/>
  <c r="Z20" i="11"/>
  <c r="AB20" i="11"/>
  <c r="U20" i="11"/>
  <c r="I20" i="11"/>
  <c r="K20" i="11"/>
  <c r="G20" i="11"/>
  <c r="E20" i="11"/>
  <c r="V20" i="11"/>
  <c r="C20" i="11"/>
  <c r="AF19" i="11"/>
  <c r="Z19" i="11"/>
  <c r="AA19" i="11"/>
  <c r="U19" i="11"/>
  <c r="I19" i="11"/>
  <c r="K19" i="11"/>
  <c r="G19" i="11"/>
  <c r="E19" i="11"/>
  <c r="C19" i="11"/>
  <c r="AF18" i="11"/>
  <c r="I18" i="11"/>
  <c r="K18" i="11"/>
  <c r="G18" i="11"/>
  <c r="E18" i="11"/>
  <c r="O18" i="11"/>
  <c r="U18" i="11"/>
  <c r="V18" i="11"/>
  <c r="C18" i="11"/>
  <c r="AF17" i="11"/>
  <c r="I17" i="11"/>
  <c r="K17" i="11"/>
  <c r="G17" i="11"/>
  <c r="E17" i="11"/>
  <c r="C17" i="11"/>
  <c r="AF16" i="11"/>
  <c r="I16" i="11"/>
  <c r="K16" i="11"/>
  <c r="G16" i="11"/>
  <c r="E16" i="11"/>
  <c r="H16" i="11"/>
  <c r="C16" i="11"/>
  <c r="AF15" i="11"/>
  <c r="I15" i="11"/>
  <c r="G15" i="11"/>
  <c r="E15" i="11"/>
  <c r="O15" i="11"/>
  <c r="U15" i="11"/>
  <c r="C15" i="11"/>
  <c r="AF14" i="11"/>
  <c r="I14" i="11"/>
  <c r="K14" i="11"/>
  <c r="G14" i="11"/>
  <c r="E14" i="11"/>
  <c r="C14" i="11"/>
  <c r="AF13" i="11"/>
  <c r="I13" i="11"/>
  <c r="K13" i="11"/>
  <c r="G13" i="11"/>
  <c r="E13" i="11"/>
  <c r="C13" i="11"/>
  <c r="AF12" i="11"/>
  <c r="I12" i="11"/>
  <c r="I35" i="11"/>
  <c r="G12" i="11"/>
  <c r="G35" i="11"/>
  <c r="E12" i="11"/>
  <c r="N12" i="11"/>
  <c r="U12" i="11"/>
  <c r="C12" i="11"/>
  <c r="K10" i="11"/>
  <c r="G10" i="11"/>
  <c r="E10" i="11"/>
  <c r="K7" i="11"/>
  <c r="I7" i="11"/>
  <c r="H7" i="11"/>
  <c r="G7" i="11"/>
  <c r="E7" i="11"/>
  <c r="G50" i="19"/>
  <c r="L77" i="19"/>
  <c r="Y12" i="19"/>
  <c r="X45" i="19"/>
  <c r="L75" i="19"/>
  <c r="J75" i="19"/>
  <c r="J78" i="19"/>
  <c r="F66" i="19"/>
  <c r="AI12" i="19"/>
  <c r="AJ12" i="19"/>
  <c r="G49" i="19"/>
  <c r="G63" i="19"/>
  <c r="Y15" i="19"/>
  <c r="AJ26" i="19"/>
  <c r="J66" i="19"/>
  <c r="F65" i="19"/>
  <c r="AI29" i="19"/>
  <c r="AJ29" i="19"/>
  <c r="F71" i="19"/>
  <c r="F67" i="19"/>
  <c r="J69" i="19"/>
  <c r="Y12" i="17"/>
  <c r="Y45" i="17"/>
  <c r="J76" i="17"/>
  <c r="J77" i="17"/>
  <c r="M45" i="17"/>
  <c r="G50" i="17"/>
  <c r="K50" i="17"/>
  <c r="K51" i="17"/>
  <c r="K52" i="17"/>
  <c r="AH29" i="17"/>
  <c r="AI29" i="17"/>
  <c r="F70" i="17"/>
  <c r="AI26" i="17"/>
  <c r="J65" i="17"/>
  <c r="F64" i="17"/>
  <c r="G53" i="17"/>
  <c r="AH12" i="17"/>
  <c r="AI12" i="17"/>
  <c r="F65" i="17"/>
  <c r="J68" i="17"/>
  <c r="F66" i="17"/>
  <c r="F55" i="15"/>
  <c r="J56" i="15"/>
  <c r="W17" i="15"/>
  <c r="X17" i="15"/>
  <c r="V14" i="15"/>
  <c r="W12" i="15"/>
  <c r="J29" i="15"/>
  <c r="W29" i="15"/>
  <c r="X29" i="15"/>
  <c r="I50" i="15"/>
  <c r="M25" i="16"/>
  <c r="AG25" i="16"/>
  <c r="AH25" i="16"/>
  <c r="X25" i="16"/>
  <c r="X13" i="16"/>
  <c r="X24" i="16"/>
  <c r="M24" i="16"/>
  <c r="AG24" i="16"/>
  <c r="AH24" i="16"/>
  <c r="X26" i="16"/>
  <c r="M26" i="16"/>
  <c r="AG26" i="16"/>
  <c r="X31" i="16"/>
  <c r="M31" i="16"/>
  <c r="X30" i="16"/>
  <c r="M30" i="16"/>
  <c r="I53" i="16"/>
  <c r="F57" i="16"/>
  <c r="M23" i="16"/>
  <c r="AG23" i="16"/>
  <c r="AH23" i="16"/>
  <c r="X23" i="16"/>
  <c r="F53" i="16"/>
  <c r="J56" i="16"/>
  <c r="K47" i="16"/>
  <c r="X27" i="16"/>
  <c r="M27" i="16"/>
  <c r="AG27" i="16"/>
  <c r="AH27" i="16"/>
  <c r="X21" i="16"/>
  <c r="M21" i="16"/>
  <c r="AG21" i="16"/>
  <c r="AH21" i="16"/>
  <c r="X32" i="16"/>
  <c r="M32" i="16"/>
  <c r="AG12" i="16"/>
  <c r="AH12" i="16"/>
  <c r="X29" i="16"/>
  <c r="M29" i="16"/>
  <c r="M19" i="16"/>
  <c r="F56" i="16"/>
  <c r="X19" i="16"/>
  <c r="W16" i="16"/>
  <c r="W43" i="16"/>
  <c r="G47" i="15"/>
  <c r="X27" i="15"/>
  <c r="M27" i="15"/>
  <c r="AG27" i="15"/>
  <c r="AH27" i="15"/>
  <c r="X36" i="15"/>
  <c r="M36" i="15"/>
  <c r="X40" i="15"/>
  <c r="M40" i="15"/>
  <c r="X20" i="15"/>
  <c r="M20" i="15"/>
  <c r="X30" i="15"/>
  <c r="M30" i="15"/>
  <c r="X37" i="15"/>
  <c r="M37" i="15"/>
  <c r="M29" i="15"/>
  <c r="X31" i="15"/>
  <c r="M31" i="15"/>
  <c r="X33" i="15"/>
  <c r="M33" i="15"/>
  <c r="M23" i="15"/>
  <c r="AG23" i="15"/>
  <c r="AH23" i="15"/>
  <c r="X23" i="15"/>
  <c r="X24" i="15"/>
  <c r="M24" i="15"/>
  <c r="AG24" i="15"/>
  <c r="AH24" i="15"/>
  <c r="X32" i="15"/>
  <c r="M32" i="15"/>
  <c r="X38" i="15"/>
  <c r="M38" i="15"/>
  <c r="M21" i="15"/>
  <c r="AG21" i="15"/>
  <c r="AH21" i="15"/>
  <c r="X21" i="15"/>
  <c r="X35" i="15"/>
  <c r="M35" i="15"/>
  <c r="M12" i="15"/>
  <c r="X12" i="15"/>
  <c r="X25" i="15"/>
  <c r="M25" i="15"/>
  <c r="AG25" i="15"/>
  <c r="AH25" i="15"/>
  <c r="X39" i="15"/>
  <c r="M39" i="15"/>
  <c r="X26" i="15"/>
  <c r="M26" i="15"/>
  <c r="AG26" i="15"/>
  <c r="X15" i="15"/>
  <c r="W16" i="15"/>
  <c r="X16" i="15"/>
  <c r="W18" i="15"/>
  <c r="X18" i="15"/>
  <c r="M36" i="13"/>
  <c r="X36" i="13"/>
  <c r="M38" i="13"/>
  <c r="X38" i="13"/>
  <c r="X27" i="13"/>
  <c r="K43" i="13"/>
  <c r="X40" i="13"/>
  <c r="M40" i="13"/>
  <c r="M31" i="13"/>
  <c r="X31" i="13"/>
  <c r="I53" i="13"/>
  <c r="H57" i="13"/>
  <c r="X33" i="13"/>
  <c r="M33" i="13"/>
  <c r="X25" i="13"/>
  <c r="M25" i="13"/>
  <c r="AG25" i="13"/>
  <c r="AH25" i="13"/>
  <c r="M16" i="13"/>
  <c r="AG16" i="13"/>
  <c r="AH16" i="13"/>
  <c r="W16" i="13"/>
  <c r="G48" i="13"/>
  <c r="X15" i="13"/>
  <c r="M18" i="13"/>
  <c r="AG18" i="13"/>
  <c r="AH18" i="13"/>
  <c r="X18" i="13"/>
  <c r="M23" i="13"/>
  <c r="AG23" i="13"/>
  <c r="AH23" i="13"/>
  <c r="X23" i="13"/>
  <c r="X13" i="13"/>
  <c r="M13" i="13"/>
  <c r="AG13" i="13"/>
  <c r="AH13" i="13"/>
  <c r="G47" i="13"/>
  <c r="K47" i="13"/>
  <c r="X30" i="13"/>
  <c r="M30" i="13"/>
  <c r="X21" i="13"/>
  <c r="M21" i="13"/>
  <c r="AG21" i="13"/>
  <c r="AH21" i="13"/>
  <c r="X26" i="13"/>
  <c r="M26" i="13"/>
  <c r="AG26" i="13"/>
  <c r="X29" i="13"/>
  <c r="M29" i="13"/>
  <c r="AG29" i="13"/>
  <c r="AH29" i="13"/>
  <c r="X32" i="13"/>
  <c r="M32" i="13"/>
  <c r="F53" i="13"/>
  <c r="X19" i="13"/>
  <c r="M19" i="13"/>
  <c r="AG12" i="13"/>
  <c r="AH12" i="13"/>
  <c r="X24" i="13"/>
  <c r="M24" i="13"/>
  <c r="AG24" i="13"/>
  <c r="AH24" i="13"/>
  <c r="K25" i="12"/>
  <c r="J25" i="12"/>
  <c r="W25" i="12"/>
  <c r="K31" i="12"/>
  <c r="J31" i="12"/>
  <c r="K27" i="12"/>
  <c r="J27" i="12"/>
  <c r="W27" i="12"/>
  <c r="X16" i="12"/>
  <c r="M16" i="12"/>
  <c r="AG16" i="12"/>
  <c r="AH16" i="12"/>
  <c r="J23" i="12"/>
  <c r="W23" i="12"/>
  <c r="I42" i="12"/>
  <c r="K23" i="12"/>
  <c r="K33" i="12"/>
  <c r="J33" i="12"/>
  <c r="M13" i="12"/>
  <c r="AG13" i="12"/>
  <c r="J30" i="12"/>
  <c r="I46" i="12"/>
  <c r="H50" i="12"/>
  <c r="K30" i="12"/>
  <c r="K21" i="12"/>
  <c r="J21" i="12"/>
  <c r="W21" i="12"/>
  <c r="AH22" i="12"/>
  <c r="K24" i="12"/>
  <c r="J24" i="12"/>
  <c r="W24" i="12"/>
  <c r="K26" i="12"/>
  <c r="J26" i="12"/>
  <c r="W26" i="12"/>
  <c r="I43" i="12"/>
  <c r="K29" i="12"/>
  <c r="J29" i="12"/>
  <c r="V16" i="12"/>
  <c r="M18" i="12"/>
  <c r="AG18" i="12"/>
  <c r="X18" i="12"/>
  <c r="AH13" i="12"/>
  <c r="AH18" i="12"/>
  <c r="G41" i="12"/>
  <c r="M20" i="12"/>
  <c r="AG20" i="12"/>
  <c r="AH20" i="12"/>
  <c r="F40" i="12"/>
  <c r="K12" i="12"/>
  <c r="V14" i="12"/>
  <c r="K15" i="12"/>
  <c r="X22" i="12"/>
  <c r="AA24" i="12"/>
  <c r="X14" i="12"/>
  <c r="X17" i="12"/>
  <c r="AA22" i="12"/>
  <c r="M32" i="12"/>
  <c r="M34" i="12"/>
  <c r="J13" i="12"/>
  <c r="J16" i="12"/>
  <c r="W16" i="12"/>
  <c r="J19" i="12"/>
  <c r="W19" i="12"/>
  <c r="AA27" i="12"/>
  <c r="H16" i="12"/>
  <c r="V12" i="12"/>
  <c r="V15" i="12"/>
  <c r="V18" i="12"/>
  <c r="K19" i="12"/>
  <c r="H13" i="12"/>
  <c r="N13" i="12"/>
  <c r="U13" i="12"/>
  <c r="V13" i="12"/>
  <c r="O16" i="12"/>
  <c r="U16" i="12"/>
  <c r="H19" i="12"/>
  <c r="AA23" i="12"/>
  <c r="J20" i="12"/>
  <c r="W20" i="12"/>
  <c r="X20" i="12"/>
  <c r="K43" i="11"/>
  <c r="H19" i="11"/>
  <c r="V22" i="11"/>
  <c r="J19" i="11"/>
  <c r="W19" i="11"/>
  <c r="AB22" i="11"/>
  <c r="H13" i="11"/>
  <c r="F40" i="11"/>
  <c r="AA21" i="11"/>
  <c r="X19" i="11"/>
  <c r="M19" i="11"/>
  <c r="AG19" i="11"/>
  <c r="AH19" i="11"/>
  <c r="AH22" i="11"/>
  <c r="J13" i="11"/>
  <c r="J15" i="11"/>
  <c r="W15" i="11"/>
  <c r="AA20" i="11"/>
  <c r="AA25" i="11"/>
  <c r="N13" i="11"/>
  <c r="U13" i="11"/>
  <c r="AA27" i="11"/>
  <c r="X22" i="11"/>
  <c r="AB19" i="11"/>
  <c r="J16" i="11"/>
  <c r="O16" i="11"/>
  <c r="U16" i="11"/>
  <c r="V16" i="11"/>
  <c r="AA26" i="11"/>
  <c r="H17" i="11"/>
  <c r="M16" i="11"/>
  <c r="AG16" i="11"/>
  <c r="AH16" i="11"/>
  <c r="M18" i="11"/>
  <c r="AG18" i="11"/>
  <c r="AH18" i="11"/>
  <c r="J21" i="11"/>
  <c r="W21" i="11"/>
  <c r="K21" i="11"/>
  <c r="K24" i="11"/>
  <c r="J24" i="11"/>
  <c r="W24" i="11"/>
  <c r="M14" i="11"/>
  <c r="AG14" i="11"/>
  <c r="AH14" i="11"/>
  <c r="K26" i="11"/>
  <c r="J26" i="11"/>
  <c r="W26" i="11"/>
  <c r="K29" i="11"/>
  <c r="J29" i="11"/>
  <c r="I42" i="11"/>
  <c r="M20" i="11"/>
  <c r="AG20" i="11"/>
  <c r="AH20" i="11"/>
  <c r="X20" i="11"/>
  <c r="K25" i="11"/>
  <c r="J25" i="11"/>
  <c r="W25" i="11"/>
  <c r="I40" i="11"/>
  <c r="M13" i="11"/>
  <c r="AG13" i="11"/>
  <c r="AH13" i="11"/>
  <c r="K23" i="11"/>
  <c r="J23" i="11"/>
  <c r="W23" i="11"/>
  <c r="I41" i="11"/>
  <c r="K27" i="11"/>
  <c r="J27" i="11"/>
  <c r="W27" i="11"/>
  <c r="M17" i="11"/>
  <c r="AG17" i="11"/>
  <c r="AH17" i="11"/>
  <c r="V12" i="11"/>
  <c r="V15" i="11"/>
  <c r="J14" i="11"/>
  <c r="J17" i="11"/>
  <c r="V19" i="11"/>
  <c r="H20" i="11"/>
  <c r="AA23" i="11"/>
  <c r="F39" i="11"/>
  <c r="V13" i="11"/>
  <c r="H12" i="11"/>
  <c r="H15" i="11"/>
  <c r="H18" i="11"/>
  <c r="J20" i="11"/>
  <c r="W20" i="11"/>
  <c r="N14" i="11"/>
  <c r="U14" i="11"/>
  <c r="V14" i="11"/>
  <c r="O17" i="11"/>
  <c r="U17" i="11"/>
  <c r="V17" i="11"/>
  <c r="J18" i="11"/>
  <c r="W18" i="11"/>
  <c r="X18" i="11"/>
  <c r="H14" i="11"/>
  <c r="K12" i="11"/>
  <c r="K15" i="11"/>
  <c r="AA24" i="11"/>
  <c r="J12" i="11"/>
  <c r="L78" i="19"/>
  <c r="Y45" i="19"/>
  <c r="K49" i="19"/>
  <c r="K50" i="19"/>
  <c r="K51" i="19"/>
  <c r="K52" i="19"/>
  <c r="K62" i="19"/>
  <c r="F69" i="19"/>
  <c r="Y46" i="17"/>
  <c r="K53" i="17"/>
  <c r="F68" i="17"/>
  <c r="K54" i="17"/>
  <c r="K55" i="17"/>
  <c r="K56" i="17"/>
  <c r="K57" i="17"/>
  <c r="K58" i="17"/>
  <c r="K59" i="17"/>
  <c r="K60" i="17"/>
  <c r="K61" i="17"/>
  <c r="G62" i="17"/>
  <c r="J66" i="17"/>
  <c r="J69" i="17"/>
  <c r="K62" i="17"/>
  <c r="Y49" i="17"/>
  <c r="G51" i="15"/>
  <c r="F56" i="15"/>
  <c r="I53" i="15"/>
  <c r="AG29" i="15"/>
  <c r="AH29" i="15"/>
  <c r="F61" i="15"/>
  <c r="AH26" i="16"/>
  <c r="AG29" i="16"/>
  <c r="AH29" i="16"/>
  <c r="F61" i="16"/>
  <c r="J57" i="16"/>
  <c r="K48" i="16"/>
  <c r="K49" i="16"/>
  <c r="K50" i="16"/>
  <c r="F55" i="16"/>
  <c r="F59" i="16"/>
  <c r="G51" i="16"/>
  <c r="AG19" i="16"/>
  <c r="AH19" i="16"/>
  <c r="X16" i="16"/>
  <c r="X43" i="16"/>
  <c r="X44" i="16"/>
  <c r="G48" i="16"/>
  <c r="AG20" i="15"/>
  <c r="AH20" i="15"/>
  <c r="AH26" i="15"/>
  <c r="X47" i="15"/>
  <c r="G48" i="15"/>
  <c r="G53" i="15"/>
  <c r="J57" i="15"/>
  <c r="AG12" i="15"/>
  <c r="AH12" i="15"/>
  <c r="K47" i="15"/>
  <c r="K48" i="15"/>
  <c r="K49" i="15"/>
  <c r="K50" i="15"/>
  <c r="K51" i="15"/>
  <c r="K52" i="15"/>
  <c r="M43" i="13"/>
  <c r="C61" i="13"/>
  <c r="X16" i="13"/>
  <c r="X43" i="13"/>
  <c r="K48" i="13"/>
  <c r="K49" i="13"/>
  <c r="K50" i="13"/>
  <c r="AG19" i="13"/>
  <c r="AH19" i="13"/>
  <c r="G51" i="13"/>
  <c r="G53" i="13"/>
  <c r="X47" i="13"/>
  <c r="AH26" i="13"/>
  <c r="H55" i="13"/>
  <c r="W43" i="13"/>
  <c r="X19" i="12"/>
  <c r="C54" i="12"/>
  <c r="M19" i="12"/>
  <c r="X26" i="12"/>
  <c r="M26" i="12"/>
  <c r="M27" i="12"/>
  <c r="AG27" i="12"/>
  <c r="AH27" i="12"/>
  <c r="X27" i="12"/>
  <c r="M15" i="12"/>
  <c r="AG15" i="12"/>
  <c r="AH15" i="12"/>
  <c r="X15" i="12"/>
  <c r="X23" i="12"/>
  <c r="M23" i="12"/>
  <c r="AG23" i="12"/>
  <c r="AH23" i="12"/>
  <c r="M12" i="12"/>
  <c r="X12" i="12"/>
  <c r="K36" i="12"/>
  <c r="X31" i="12"/>
  <c r="M31" i="12"/>
  <c r="F46" i="12"/>
  <c r="W13" i="12"/>
  <c r="X29" i="12"/>
  <c r="M29" i="12"/>
  <c r="AG29" i="12"/>
  <c r="AH29" i="12"/>
  <c r="X24" i="12"/>
  <c r="M24" i="12"/>
  <c r="AG24" i="12"/>
  <c r="AH24" i="12"/>
  <c r="X21" i="12"/>
  <c r="M21" i="12"/>
  <c r="AG21" i="12"/>
  <c r="AH21" i="12"/>
  <c r="M25" i="12"/>
  <c r="AG25" i="12"/>
  <c r="AH25" i="12"/>
  <c r="X25" i="12"/>
  <c r="X33" i="12"/>
  <c r="M33" i="12"/>
  <c r="X30" i="12"/>
  <c r="M30" i="12"/>
  <c r="W16" i="11"/>
  <c r="X16" i="11"/>
  <c r="W12" i="11"/>
  <c r="J35" i="11"/>
  <c r="H35" i="11"/>
  <c r="K35" i="11"/>
  <c r="M34" i="6"/>
  <c r="X34" i="6"/>
  <c r="W13" i="11"/>
  <c r="X13" i="11"/>
  <c r="X21" i="11"/>
  <c r="M21" i="11"/>
  <c r="AG21" i="11"/>
  <c r="AH21" i="11"/>
  <c r="W14" i="11"/>
  <c r="X14" i="11"/>
  <c r="M26" i="11"/>
  <c r="X26" i="11"/>
  <c r="X24" i="11"/>
  <c r="M24" i="11"/>
  <c r="AG24" i="11"/>
  <c r="AH24" i="11"/>
  <c r="W17" i="11"/>
  <c r="M15" i="11"/>
  <c r="AG15" i="11"/>
  <c r="AH15" i="11"/>
  <c r="X15" i="11"/>
  <c r="M29" i="11"/>
  <c r="AG29" i="11"/>
  <c r="AH29" i="11"/>
  <c r="X29" i="11"/>
  <c r="M23" i="11"/>
  <c r="AG23" i="11"/>
  <c r="AH23" i="11"/>
  <c r="X23" i="11"/>
  <c r="M12" i="11"/>
  <c r="M35" i="11"/>
  <c r="X12" i="11"/>
  <c r="X27" i="11"/>
  <c r="M27" i="11"/>
  <c r="AG27" i="11"/>
  <c r="AH27" i="11"/>
  <c r="M25" i="11"/>
  <c r="AG25" i="11"/>
  <c r="AH25" i="11"/>
  <c r="X25" i="11"/>
  <c r="F45" i="11"/>
  <c r="I45" i="11"/>
  <c r="H49" i="11"/>
  <c r="J67" i="19"/>
  <c r="J70" i="19"/>
  <c r="K63" i="19"/>
  <c r="F57" i="15"/>
  <c r="F59" i="15"/>
  <c r="J59" i="15"/>
  <c r="J60" i="15"/>
  <c r="K51" i="16"/>
  <c r="K52" i="16"/>
  <c r="G53" i="16"/>
  <c r="K53" i="16"/>
  <c r="J59" i="16"/>
  <c r="X47" i="16"/>
  <c r="K53" i="15"/>
  <c r="X44" i="15"/>
  <c r="K51" i="13"/>
  <c r="K52" i="13"/>
  <c r="C60" i="13"/>
  <c r="C62" i="13"/>
  <c r="C64" i="13"/>
  <c r="C66" i="13"/>
  <c r="H56" i="13"/>
  <c r="K53" i="13"/>
  <c r="K56" i="13"/>
  <c r="H59" i="13"/>
  <c r="X44" i="13"/>
  <c r="AG12" i="12"/>
  <c r="AH12" i="12"/>
  <c r="M36" i="12"/>
  <c r="H48" i="12"/>
  <c r="AG26" i="12"/>
  <c r="W36" i="12"/>
  <c r="G40" i="12"/>
  <c r="X13" i="12"/>
  <c r="X36" i="12"/>
  <c r="AG19" i="12"/>
  <c r="AH19" i="12"/>
  <c r="AG26" i="11"/>
  <c r="H51" i="11"/>
  <c r="G39" i="11"/>
  <c r="K39" i="11"/>
  <c r="C53" i="11"/>
  <c r="AG12" i="11"/>
  <c r="AH12" i="11"/>
  <c r="H47" i="11"/>
  <c r="X17" i="11"/>
  <c r="X35" i="11"/>
  <c r="G40" i="11"/>
  <c r="AH26" i="11"/>
  <c r="X39" i="11"/>
  <c r="W35" i="11"/>
  <c r="K58" i="13"/>
  <c r="K60" i="13"/>
  <c r="K63" i="13"/>
  <c r="L56" i="13"/>
  <c r="G46" i="12"/>
  <c r="K40" i="12"/>
  <c r="K41" i="12"/>
  <c r="K42" i="12"/>
  <c r="K43" i="12"/>
  <c r="K44" i="12"/>
  <c r="K45" i="12"/>
  <c r="X40" i="12"/>
  <c r="AH26" i="12"/>
  <c r="G45" i="11"/>
  <c r="K40" i="11"/>
  <c r="K41" i="11"/>
  <c r="K42" i="11"/>
  <c r="K44" i="11"/>
  <c r="H49" i="12"/>
  <c r="C53" i="12"/>
  <c r="C55" i="12"/>
  <c r="C57" i="12"/>
  <c r="C59" i="12"/>
  <c r="K46" i="12"/>
  <c r="C52" i="11"/>
  <c r="C54" i="11"/>
  <c r="C56" i="11"/>
  <c r="C58" i="11"/>
  <c r="K45" i="11"/>
  <c r="K49" i="11"/>
  <c r="K51" i="11"/>
  <c r="H48" i="11"/>
  <c r="X37" i="12"/>
  <c r="H52" i="12"/>
  <c r="X36" i="11"/>
  <c r="H50" i="11"/>
  <c r="AH28" i="2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5" i="7"/>
  <c r="J24" i="5"/>
  <c r="J25" i="5"/>
  <c r="J26" i="5"/>
  <c r="J23" i="5"/>
  <c r="G31" i="5"/>
  <c r="H33" i="6"/>
  <c r="I33" i="6"/>
  <c r="K33" i="6"/>
  <c r="H32" i="6"/>
  <c r="I32" i="6"/>
  <c r="H31" i="6"/>
  <c r="I31" i="6"/>
  <c r="H46" i="6"/>
  <c r="H30" i="6"/>
  <c r="I30" i="6"/>
  <c r="G29" i="6"/>
  <c r="H29" i="6"/>
  <c r="I29" i="6"/>
  <c r="B29" i="6"/>
  <c r="AF29" i="6"/>
  <c r="AF27" i="6"/>
  <c r="Z27" i="6"/>
  <c r="AB27" i="6"/>
  <c r="U27" i="6"/>
  <c r="V27" i="6"/>
  <c r="G27" i="6"/>
  <c r="H27" i="6"/>
  <c r="I27" i="6"/>
  <c r="Z26" i="6"/>
  <c r="AB26" i="6"/>
  <c r="U26" i="6"/>
  <c r="V26" i="6"/>
  <c r="G26" i="6"/>
  <c r="H26" i="6"/>
  <c r="I26" i="6"/>
  <c r="D26" i="6"/>
  <c r="B26" i="6"/>
  <c r="AF26" i="6"/>
  <c r="Z25" i="6"/>
  <c r="AA25" i="6"/>
  <c r="U25" i="6"/>
  <c r="V25" i="6"/>
  <c r="G25" i="6"/>
  <c r="H25" i="6"/>
  <c r="I25" i="6"/>
  <c r="B25" i="6"/>
  <c r="AF25" i="6"/>
  <c r="Z24" i="6"/>
  <c r="AB24" i="6"/>
  <c r="U24" i="6"/>
  <c r="V24" i="6"/>
  <c r="G24" i="6"/>
  <c r="H24" i="6"/>
  <c r="I24" i="6"/>
  <c r="K24" i="6"/>
  <c r="B24" i="6"/>
  <c r="AF24" i="6"/>
  <c r="Z23" i="6"/>
  <c r="AB23" i="6"/>
  <c r="U23" i="6"/>
  <c r="V23" i="6"/>
  <c r="G23" i="6"/>
  <c r="H23" i="6"/>
  <c r="I23" i="6"/>
  <c r="B23" i="6"/>
  <c r="AF23" i="6"/>
  <c r="Z22" i="6"/>
  <c r="AB22" i="6"/>
  <c r="U22" i="6"/>
  <c r="V22" i="6"/>
  <c r="K22" i="6"/>
  <c r="H22" i="6"/>
  <c r="I22" i="6"/>
  <c r="C22" i="6"/>
  <c r="B22" i="6"/>
  <c r="AF22" i="6"/>
  <c r="AF21" i="6"/>
  <c r="Z21" i="6"/>
  <c r="AA21" i="6"/>
  <c r="U21" i="6"/>
  <c r="V21" i="6"/>
  <c r="G21" i="6"/>
  <c r="H21" i="6"/>
  <c r="I21" i="6"/>
  <c r="C21" i="6"/>
  <c r="AF20" i="6"/>
  <c r="Z20" i="6"/>
  <c r="AA20" i="6"/>
  <c r="U20" i="6"/>
  <c r="I20" i="6"/>
  <c r="K20" i="6"/>
  <c r="G20" i="6"/>
  <c r="E20" i="6"/>
  <c r="V20" i="6"/>
  <c r="C20" i="6"/>
  <c r="AF19" i="6"/>
  <c r="Z19" i="6"/>
  <c r="AA19" i="6"/>
  <c r="U19" i="6"/>
  <c r="I19" i="6"/>
  <c r="K19" i="6"/>
  <c r="G19" i="6"/>
  <c r="E19" i="6"/>
  <c r="C19" i="6"/>
  <c r="AF18" i="6"/>
  <c r="I18" i="6"/>
  <c r="K18" i="6"/>
  <c r="G18" i="6"/>
  <c r="E18" i="6"/>
  <c r="H18" i="6"/>
  <c r="C18" i="6"/>
  <c r="AF17" i="6"/>
  <c r="I17" i="6"/>
  <c r="K17" i="6"/>
  <c r="G17" i="6"/>
  <c r="E17" i="6"/>
  <c r="C17" i="6"/>
  <c r="AF16" i="6"/>
  <c r="I16" i="6"/>
  <c r="K16" i="6"/>
  <c r="G16" i="6"/>
  <c r="E16" i="6"/>
  <c r="C16" i="6"/>
  <c r="AF15" i="6"/>
  <c r="I15" i="6"/>
  <c r="K15" i="6"/>
  <c r="G15" i="6"/>
  <c r="E15" i="6"/>
  <c r="H15" i="6"/>
  <c r="C15" i="6"/>
  <c r="AF14" i="6"/>
  <c r="I14" i="6"/>
  <c r="K14" i="6"/>
  <c r="G14" i="6"/>
  <c r="E14" i="6"/>
  <c r="C14" i="6"/>
  <c r="AF13" i="6"/>
  <c r="I13" i="6"/>
  <c r="G13" i="6"/>
  <c r="E13" i="6"/>
  <c r="H13" i="6"/>
  <c r="C13" i="6"/>
  <c r="AF12" i="6"/>
  <c r="I12" i="6"/>
  <c r="G12" i="6"/>
  <c r="E12" i="6"/>
  <c r="C12" i="6"/>
  <c r="K10" i="6"/>
  <c r="G10" i="6"/>
  <c r="E10" i="6"/>
  <c r="K7" i="6"/>
  <c r="I7" i="6"/>
  <c r="H7" i="6"/>
  <c r="G7" i="6"/>
  <c r="E7" i="6"/>
  <c r="H30" i="2"/>
  <c r="I30" i="2"/>
  <c r="AF27" i="2"/>
  <c r="AA22" i="6"/>
  <c r="AB19" i="6"/>
  <c r="O15" i="6"/>
  <c r="U15" i="6"/>
  <c r="V15" i="6"/>
  <c r="AA26" i="6"/>
  <c r="H12" i="6"/>
  <c r="H19" i="6"/>
  <c r="J19" i="6"/>
  <c r="W19" i="6"/>
  <c r="X19" i="6"/>
  <c r="W22" i="6"/>
  <c r="H16" i="6"/>
  <c r="J18" i="6"/>
  <c r="I36" i="6"/>
  <c r="N12" i="6"/>
  <c r="U12" i="6"/>
  <c r="V12" i="6"/>
  <c r="J16" i="6"/>
  <c r="O18" i="6"/>
  <c r="U18" i="6"/>
  <c r="V18" i="6"/>
  <c r="AB21" i="6"/>
  <c r="AA27" i="6"/>
  <c r="J15" i="6"/>
  <c r="J13" i="6"/>
  <c r="X22" i="6"/>
  <c r="J31" i="6"/>
  <c r="K31" i="6"/>
  <c r="J32" i="6"/>
  <c r="K32" i="6"/>
  <c r="X33" i="6"/>
  <c r="M33" i="6"/>
  <c r="J33" i="6"/>
  <c r="M24" i="6"/>
  <c r="AG24" i="6"/>
  <c r="AH24" i="6"/>
  <c r="M15" i="6"/>
  <c r="AG15" i="6"/>
  <c r="AH15" i="6"/>
  <c r="M17" i="6"/>
  <c r="AG17" i="6"/>
  <c r="AH17" i="6"/>
  <c r="K29" i="6"/>
  <c r="J29" i="6"/>
  <c r="I41" i="6"/>
  <c r="M18" i="6"/>
  <c r="AG18" i="6"/>
  <c r="AH18" i="6"/>
  <c r="K27" i="6"/>
  <c r="J27" i="6"/>
  <c r="W27" i="6"/>
  <c r="K26" i="6"/>
  <c r="J26" i="6"/>
  <c r="W26" i="6"/>
  <c r="J21" i="6"/>
  <c r="W21" i="6"/>
  <c r="K21" i="6"/>
  <c r="M16" i="6"/>
  <c r="AG16" i="6"/>
  <c r="AH16" i="6"/>
  <c r="K30" i="6"/>
  <c r="J30" i="6"/>
  <c r="M14" i="6"/>
  <c r="AG14" i="6"/>
  <c r="AH14" i="6"/>
  <c r="M20" i="6"/>
  <c r="AG20" i="6"/>
  <c r="AH20" i="6"/>
  <c r="K23" i="6"/>
  <c r="J23" i="6"/>
  <c r="W23" i="6"/>
  <c r="I42" i="6"/>
  <c r="K25" i="6"/>
  <c r="J25" i="6"/>
  <c r="W25" i="6"/>
  <c r="K13" i="6"/>
  <c r="J24" i="6"/>
  <c r="W24" i="6"/>
  <c r="X24" i="6"/>
  <c r="M19" i="6"/>
  <c r="N13" i="6"/>
  <c r="U13" i="6"/>
  <c r="V13" i="6"/>
  <c r="O16" i="6"/>
  <c r="U16" i="6"/>
  <c r="V16" i="6"/>
  <c r="AB20" i="6"/>
  <c r="AB25" i="6"/>
  <c r="V19" i="6"/>
  <c r="H20" i="6"/>
  <c r="AA23" i="6"/>
  <c r="H17" i="6"/>
  <c r="M22" i="6"/>
  <c r="AG22" i="6"/>
  <c r="AH22" i="6"/>
  <c r="F40" i="6"/>
  <c r="J14" i="6"/>
  <c r="J17" i="6"/>
  <c r="J20" i="6"/>
  <c r="W20" i="6"/>
  <c r="X20" i="6"/>
  <c r="N14" i="6"/>
  <c r="U14" i="6"/>
  <c r="V14" i="6"/>
  <c r="O17" i="6"/>
  <c r="U17" i="6"/>
  <c r="V17" i="6"/>
  <c r="H14" i="6"/>
  <c r="J12" i="6"/>
  <c r="K12" i="6"/>
  <c r="AA24" i="6"/>
  <c r="F41" i="6"/>
  <c r="J30" i="2"/>
  <c r="K30" i="2"/>
  <c r="I44" i="2"/>
  <c r="W12" i="6"/>
  <c r="W15" i="6"/>
  <c r="W16" i="6"/>
  <c r="X16" i="6"/>
  <c r="W14" i="6"/>
  <c r="X14" i="6"/>
  <c r="W18" i="6"/>
  <c r="X18" i="6"/>
  <c r="K36" i="6"/>
  <c r="X32" i="6"/>
  <c r="M32" i="6"/>
  <c r="X31" i="6"/>
  <c r="M31" i="6"/>
  <c r="X30" i="6"/>
  <c r="M30" i="6"/>
  <c r="M13" i="6"/>
  <c r="AG13" i="6"/>
  <c r="AH13" i="6"/>
  <c r="X15" i="6"/>
  <c r="F46" i="6"/>
  <c r="M12" i="6"/>
  <c r="X12" i="6"/>
  <c r="X27" i="6"/>
  <c r="M27" i="6"/>
  <c r="AG27" i="6"/>
  <c r="AH27" i="6"/>
  <c r="M21" i="6"/>
  <c r="AG21" i="6"/>
  <c r="AH21" i="6"/>
  <c r="X21" i="6"/>
  <c r="I46" i="6"/>
  <c r="M29" i="6"/>
  <c r="AG29" i="6"/>
  <c r="AH29" i="6"/>
  <c r="X29" i="6"/>
  <c r="AG19" i="6"/>
  <c r="AH19" i="6"/>
  <c r="W13" i="6"/>
  <c r="X26" i="6"/>
  <c r="M26" i="6"/>
  <c r="AG26" i="6"/>
  <c r="M25" i="6"/>
  <c r="AG25" i="6"/>
  <c r="AH25" i="6"/>
  <c r="X25" i="6"/>
  <c r="M23" i="6"/>
  <c r="AG23" i="6"/>
  <c r="AH23" i="6"/>
  <c r="X23" i="6"/>
  <c r="W17" i="6"/>
  <c r="X17" i="6"/>
  <c r="M30" i="2"/>
  <c r="X30" i="2"/>
  <c r="G40" i="6"/>
  <c r="K40" i="6"/>
  <c r="X13" i="6"/>
  <c r="C54" i="6"/>
  <c r="X36" i="6"/>
  <c r="M36" i="6"/>
  <c r="W36" i="6"/>
  <c r="H50" i="6"/>
  <c r="AG12" i="6"/>
  <c r="AH12" i="6"/>
  <c r="H48" i="6"/>
  <c r="X40" i="6"/>
  <c r="AH26" i="6"/>
  <c r="G41" i="6"/>
  <c r="K41" i="6"/>
  <c r="K42" i="6"/>
  <c r="K43" i="6"/>
  <c r="K44" i="6"/>
  <c r="K45" i="6"/>
  <c r="G46" i="6"/>
  <c r="K46" i="6"/>
  <c r="K51" i="6"/>
  <c r="K53" i="6"/>
  <c r="L49" i="6"/>
  <c r="C53" i="6"/>
  <c r="C55" i="6"/>
  <c r="C57" i="6"/>
  <c r="C59" i="6"/>
  <c r="H49" i="6"/>
  <c r="H52" i="6"/>
  <c r="AF21" i="2"/>
  <c r="AF20" i="2"/>
  <c r="AF19" i="2"/>
  <c r="AF18" i="2"/>
  <c r="AF17" i="2"/>
  <c r="AF16" i="2"/>
  <c r="AF15" i="2"/>
  <c r="AF14" i="2"/>
  <c r="AF13" i="2"/>
  <c r="AF12" i="2"/>
  <c r="E27" i="5"/>
  <c r="G26" i="5"/>
  <c r="F26" i="5"/>
  <c r="G25" i="5"/>
  <c r="F25" i="5"/>
  <c r="F24" i="5"/>
  <c r="G24" i="5"/>
  <c r="G23" i="5"/>
  <c r="G27" i="5"/>
  <c r="F23" i="5"/>
  <c r="F27" i="5"/>
  <c r="E19" i="5"/>
  <c r="G18" i="5"/>
  <c r="F18" i="5"/>
  <c r="F17" i="5"/>
  <c r="G17" i="5"/>
  <c r="F16" i="5"/>
  <c r="G16" i="5"/>
  <c r="F15" i="5"/>
  <c r="G15" i="5"/>
  <c r="F14" i="5"/>
  <c r="G14" i="5"/>
  <c r="G13" i="5"/>
  <c r="F13" i="5"/>
  <c r="F12" i="5"/>
  <c r="G12" i="5"/>
  <c r="F11" i="5"/>
  <c r="G11" i="5"/>
  <c r="G10" i="5"/>
  <c r="F10" i="5"/>
  <c r="F9" i="5"/>
  <c r="G9" i="5"/>
  <c r="F8" i="5"/>
  <c r="G8" i="5"/>
  <c r="G7" i="5"/>
  <c r="F7" i="5"/>
  <c r="F6" i="5"/>
  <c r="G6" i="5"/>
  <c r="F5" i="5"/>
  <c r="F19" i="5"/>
  <c r="X37" i="6"/>
  <c r="G5" i="5"/>
  <c r="G19" i="5"/>
  <c r="N61" i="1"/>
  <c r="N60" i="1"/>
  <c r="I60" i="1"/>
  <c r="I61" i="1"/>
  <c r="G61" i="1"/>
  <c r="H61" i="1"/>
  <c r="Z28" i="2"/>
  <c r="AA28" i="2"/>
  <c r="H28" i="2"/>
  <c r="I28" i="2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G29" i="2"/>
  <c r="H29" i="2"/>
  <c r="I29" i="2"/>
  <c r="B29" i="2"/>
  <c r="AF29" i="2"/>
  <c r="G60" i="1"/>
  <c r="H60" i="1"/>
  <c r="I33" i="4"/>
  <c r="H39" i="4"/>
  <c r="H37" i="4"/>
  <c r="F32" i="4"/>
  <c r="L27" i="4"/>
  <c r="Z25" i="4"/>
  <c r="AA25" i="4"/>
  <c r="V25" i="4"/>
  <c r="U25" i="4"/>
  <c r="I25" i="4"/>
  <c r="K25" i="4"/>
  <c r="H25" i="4"/>
  <c r="G25" i="4"/>
  <c r="AB24" i="4"/>
  <c r="AA24" i="4"/>
  <c r="Z24" i="4"/>
  <c r="U24" i="4"/>
  <c r="V24" i="4"/>
  <c r="G24" i="4"/>
  <c r="H24" i="4"/>
  <c r="I24" i="4"/>
  <c r="D24" i="4"/>
  <c r="B24" i="4"/>
  <c r="AA23" i="4"/>
  <c r="Z23" i="4"/>
  <c r="AB23" i="4"/>
  <c r="U23" i="4"/>
  <c r="V23" i="4"/>
  <c r="I23" i="4"/>
  <c r="J23" i="4"/>
  <c r="W23" i="4"/>
  <c r="H23" i="4"/>
  <c r="G23" i="4"/>
  <c r="B23" i="4"/>
  <c r="AB22" i="4"/>
  <c r="AA22" i="4"/>
  <c r="Z22" i="4"/>
  <c r="V22" i="4"/>
  <c r="U22" i="4"/>
  <c r="H22" i="4"/>
  <c r="I22" i="4"/>
  <c r="G22" i="4"/>
  <c r="B22" i="4"/>
  <c r="Z21" i="4"/>
  <c r="AB21" i="4"/>
  <c r="U21" i="4"/>
  <c r="V21" i="4"/>
  <c r="H21" i="4"/>
  <c r="I21" i="4"/>
  <c r="G21" i="4"/>
  <c r="B21" i="4"/>
  <c r="AB20" i="4"/>
  <c r="AA20" i="4"/>
  <c r="Z20" i="4"/>
  <c r="W20" i="4"/>
  <c r="X20" i="4"/>
  <c r="U20" i="4"/>
  <c r="V20" i="4"/>
  <c r="M20" i="4"/>
  <c r="K20" i="4"/>
  <c r="I20" i="4"/>
  <c r="H20" i="4"/>
  <c r="C20" i="4"/>
  <c r="B20" i="4"/>
  <c r="Z19" i="4"/>
  <c r="AB19" i="4"/>
  <c r="U19" i="4"/>
  <c r="V19" i="4"/>
  <c r="G19" i="4"/>
  <c r="H19" i="4"/>
  <c r="I19" i="4"/>
  <c r="I32" i="4"/>
  <c r="I34" i="4"/>
  <c r="C19" i="4"/>
  <c r="AB18" i="4"/>
  <c r="AA18" i="4"/>
  <c r="Z18" i="4"/>
  <c r="U18" i="4"/>
  <c r="I18" i="4"/>
  <c r="K18" i="4"/>
  <c r="G18" i="4"/>
  <c r="E18" i="4"/>
  <c r="V18" i="4"/>
  <c r="C18" i="4"/>
  <c r="AA17" i="4"/>
  <c r="Z17" i="4"/>
  <c r="AB17" i="4"/>
  <c r="U17" i="4"/>
  <c r="I17" i="4"/>
  <c r="J17" i="4"/>
  <c r="W17" i="4"/>
  <c r="G17" i="4"/>
  <c r="E17" i="4"/>
  <c r="C17" i="4"/>
  <c r="O16" i="4"/>
  <c r="U16" i="4"/>
  <c r="K16" i="4"/>
  <c r="J16" i="4"/>
  <c r="W16" i="4"/>
  <c r="I16" i="4"/>
  <c r="G16" i="4"/>
  <c r="E16" i="4"/>
  <c r="H16" i="4"/>
  <c r="C16" i="4"/>
  <c r="K15" i="4"/>
  <c r="I15" i="4"/>
  <c r="J15" i="4"/>
  <c r="H15" i="4"/>
  <c r="G15" i="4"/>
  <c r="E15" i="4"/>
  <c r="C15" i="4"/>
  <c r="O14" i="4"/>
  <c r="U14" i="4"/>
  <c r="V14" i="4"/>
  <c r="M14" i="4"/>
  <c r="K14" i="4"/>
  <c r="I14" i="4"/>
  <c r="J14" i="4"/>
  <c r="W14" i="4"/>
  <c r="H14" i="4"/>
  <c r="G14" i="4"/>
  <c r="E14" i="4"/>
  <c r="C14" i="4"/>
  <c r="O13" i="4"/>
  <c r="U13" i="4"/>
  <c r="J13" i="4"/>
  <c r="I13" i="4"/>
  <c r="K13" i="4"/>
  <c r="H13" i="4"/>
  <c r="G13" i="4"/>
  <c r="E13" i="4"/>
  <c r="V13" i="4"/>
  <c r="C13" i="4"/>
  <c r="U12" i="4"/>
  <c r="V12" i="4"/>
  <c r="N12" i="4"/>
  <c r="K12" i="4"/>
  <c r="M12" i="4"/>
  <c r="J12" i="4"/>
  <c r="W12" i="4"/>
  <c r="I12" i="4"/>
  <c r="G12" i="4"/>
  <c r="E12" i="4"/>
  <c r="H12" i="4"/>
  <c r="C12" i="4"/>
  <c r="M11" i="4"/>
  <c r="K11" i="4"/>
  <c r="I11" i="4"/>
  <c r="G11" i="4"/>
  <c r="E11" i="4"/>
  <c r="N11" i="4"/>
  <c r="U11" i="4"/>
  <c r="V11" i="4"/>
  <c r="C11" i="4"/>
  <c r="N10" i="4"/>
  <c r="U10" i="4"/>
  <c r="M10" i="4"/>
  <c r="K10" i="4"/>
  <c r="J10" i="4"/>
  <c r="I10" i="4"/>
  <c r="F31" i="4"/>
  <c r="G10" i="4"/>
  <c r="H10" i="4"/>
  <c r="E10" i="4"/>
  <c r="C10" i="4"/>
  <c r="K8" i="4"/>
  <c r="G8" i="4"/>
  <c r="E8" i="4"/>
  <c r="K7" i="4"/>
  <c r="I7" i="4"/>
  <c r="H7" i="4"/>
  <c r="G7" i="4"/>
  <c r="E7" i="4"/>
  <c r="O61" i="1"/>
  <c r="P59" i="1"/>
  <c r="P58" i="1"/>
  <c r="P57" i="1"/>
  <c r="N56" i="1"/>
  <c r="N55" i="1"/>
  <c r="N54" i="1"/>
  <c r="N53" i="1"/>
  <c r="P52" i="1"/>
  <c r="P51" i="1"/>
  <c r="P50" i="1"/>
  <c r="P49" i="1"/>
  <c r="P48" i="1"/>
  <c r="P47" i="1"/>
  <c r="N52" i="1"/>
  <c r="N51" i="1"/>
  <c r="Q51" i="1"/>
  <c r="N50" i="1"/>
  <c r="Q50" i="1"/>
  <c r="N49" i="1"/>
  <c r="Q49" i="1"/>
  <c r="N48" i="1"/>
  <c r="N47" i="1"/>
  <c r="N46" i="1"/>
  <c r="N45" i="1"/>
  <c r="Z27" i="2"/>
  <c r="AA27" i="2"/>
  <c r="Z26" i="2"/>
  <c r="AA26" i="2"/>
  <c r="U27" i="2"/>
  <c r="V27" i="2"/>
  <c r="U23" i="2"/>
  <c r="V23" i="2"/>
  <c r="U22" i="2"/>
  <c r="V22" i="2"/>
  <c r="U21" i="2"/>
  <c r="L36" i="2"/>
  <c r="G27" i="2"/>
  <c r="H27" i="2"/>
  <c r="I27" i="2"/>
  <c r="K27" i="2"/>
  <c r="G59" i="1"/>
  <c r="H59" i="1"/>
  <c r="I59" i="1"/>
  <c r="N59" i="1"/>
  <c r="Z24" i="2"/>
  <c r="AA24" i="2"/>
  <c r="Z23" i="2"/>
  <c r="AA23" i="2"/>
  <c r="Z22" i="2"/>
  <c r="AA22" i="2"/>
  <c r="Z21" i="2"/>
  <c r="AA21" i="2"/>
  <c r="Z20" i="2"/>
  <c r="AA20" i="2"/>
  <c r="Z19" i="2"/>
  <c r="AA19" i="2"/>
  <c r="G26" i="2"/>
  <c r="H26" i="2"/>
  <c r="I26" i="2"/>
  <c r="U26" i="2"/>
  <c r="V26" i="2"/>
  <c r="D26" i="2"/>
  <c r="B26" i="2"/>
  <c r="AF26" i="2"/>
  <c r="G58" i="1"/>
  <c r="H58" i="1"/>
  <c r="I58" i="1"/>
  <c r="N58" i="1"/>
  <c r="G57" i="1"/>
  <c r="H57" i="1"/>
  <c r="I57" i="1"/>
  <c r="N57" i="1"/>
  <c r="B25" i="2"/>
  <c r="AF25" i="2"/>
  <c r="Z25" i="2"/>
  <c r="AA25" i="2"/>
  <c r="U25" i="2"/>
  <c r="V25" i="2"/>
  <c r="G25" i="2"/>
  <c r="H25" i="2"/>
  <c r="I25" i="2"/>
  <c r="G56" i="1"/>
  <c r="H56" i="1"/>
  <c r="I56" i="1"/>
  <c r="G23" i="2"/>
  <c r="H23" i="2"/>
  <c r="I23" i="2"/>
  <c r="B23" i="2"/>
  <c r="AF23" i="2"/>
  <c r="G53" i="1"/>
  <c r="H53" i="1"/>
  <c r="I53" i="1"/>
  <c r="U24" i="2"/>
  <c r="V24" i="2"/>
  <c r="G24" i="2"/>
  <c r="H24" i="2"/>
  <c r="I24" i="2"/>
  <c r="B24" i="2"/>
  <c r="AF24" i="2"/>
  <c r="G55" i="1"/>
  <c r="H55" i="1"/>
  <c r="I55" i="1"/>
  <c r="G54" i="1"/>
  <c r="H54" i="1"/>
  <c r="I54" i="1"/>
  <c r="C22" i="2"/>
  <c r="B22" i="2"/>
  <c r="AF22" i="2"/>
  <c r="AH22" i="2"/>
  <c r="Q52" i="1"/>
  <c r="Q48" i="1"/>
  <c r="Q47" i="1"/>
  <c r="Q46" i="1"/>
  <c r="G52" i="1"/>
  <c r="H52" i="1"/>
  <c r="G51" i="1"/>
  <c r="H51" i="1"/>
  <c r="G50" i="1"/>
  <c r="H50" i="1"/>
  <c r="G49" i="1"/>
  <c r="H49" i="1"/>
  <c r="G48" i="1"/>
  <c r="H48" i="1"/>
  <c r="G47" i="1"/>
  <c r="H47" i="1"/>
  <c r="G46" i="1"/>
  <c r="H46" i="1"/>
  <c r="G45" i="1"/>
  <c r="H45" i="1"/>
  <c r="K22" i="2"/>
  <c r="M22" i="2"/>
  <c r="AG22" i="2"/>
  <c r="H22" i="2"/>
  <c r="I22" i="2"/>
  <c r="AG27" i="2"/>
  <c r="AH27" i="2"/>
  <c r="M27" i="2"/>
  <c r="I43" i="2"/>
  <c r="K28" i="2"/>
  <c r="M28" i="2"/>
  <c r="J28" i="2"/>
  <c r="W28" i="2"/>
  <c r="AB28" i="2"/>
  <c r="H17" i="4"/>
  <c r="K29" i="2"/>
  <c r="M29" i="2"/>
  <c r="J29" i="2"/>
  <c r="C6" i="3"/>
  <c r="C4" i="3"/>
  <c r="K21" i="4"/>
  <c r="J21" i="4"/>
  <c r="W21" i="4"/>
  <c r="M13" i="4"/>
  <c r="X13" i="4"/>
  <c r="M25" i="4"/>
  <c r="X14" i="4"/>
  <c r="X16" i="4"/>
  <c r="F37" i="4"/>
  <c r="W13" i="4"/>
  <c r="M18" i="4"/>
  <c r="J22" i="4"/>
  <c r="W22" i="4"/>
  <c r="K22" i="4"/>
  <c r="W15" i="4"/>
  <c r="X15" i="4"/>
  <c r="K19" i="4"/>
  <c r="J19" i="4"/>
  <c r="W19" i="4"/>
  <c r="K24" i="4"/>
  <c r="J24" i="4"/>
  <c r="W24" i="4"/>
  <c r="V10" i="4"/>
  <c r="W10" i="4"/>
  <c r="O15" i="4"/>
  <c r="U15" i="4"/>
  <c r="V15" i="4"/>
  <c r="M16" i="4"/>
  <c r="K17" i="4"/>
  <c r="H18" i="4"/>
  <c r="AA19" i="4"/>
  <c r="K23" i="4"/>
  <c r="AB25" i="4"/>
  <c r="X12" i="4"/>
  <c r="I27" i="4"/>
  <c r="I37" i="4"/>
  <c r="M15" i="4"/>
  <c r="J18" i="4"/>
  <c r="W18" i="4"/>
  <c r="X18" i="4"/>
  <c r="H11" i="4"/>
  <c r="V16" i="4"/>
  <c r="V17" i="4"/>
  <c r="AA21" i="4"/>
  <c r="J25" i="4"/>
  <c r="W25" i="4"/>
  <c r="X25" i="4"/>
  <c r="J11" i="4"/>
  <c r="W11" i="4"/>
  <c r="X11" i="4"/>
  <c r="AB19" i="2"/>
  <c r="AB20" i="2"/>
  <c r="AB21" i="2"/>
  <c r="AB22" i="2"/>
  <c r="AB26" i="2"/>
  <c r="AB24" i="2"/>
  <c r="AB27" i="2"/>
  <c r="AB25" i="2"/>
  <c r="AB23" i="2"/>
  <c r="Q59" i="1"/>
  <c r="Q58" i="1"/>
  <c r="Q57" i="1"/>
  <c r="Q56" i="1"/>
  <c r="Q53" i="1"/>
  <c r="Q54" i="1"/>
  <c r="Q55" i="1"/>
  <c r="I42" i="2"/>
  <c r="J27" i="2"/>
  <c r="W27" i="2"/>
  <c r="K25" i="2"/>
  <c r="J25" i="2"/>
  <c r="W25" i="2"/>
  <c r="K26" i="2"/>
  <c r="M26" i="2"/>
  <c r="AG26" i="2"/>
  <c r="AH26" i="2"/>
  <c r="J26" i="2"/>
  <c r="W26" i="2"/>
  <c r="K23" i="2"/>
  <c r="M23" i="2"/>
  <c r="AG23" i="2"/>
  <c r="AH23" i="2"/>
  <c r="J23" i="2"/>
  <c r="W23" i="2"/>
  <c r="K24" i="2"/>
  <c r="M24" i="2"/>
  <c r="J24" i="2"/>
  <c r="W24" i="2"/>
  <c r="Q45" i="1"/>
  <c r="W22" i="2"/>
  <c r="C12" i="2"/>
  <c r="D6" i="3"/>
  <c r="D4" i="3"/>
  <c r="AG24" i="2"/>
  <c r="AH24" i="2"/>
  <c r="AG28" i="2"/>
  <c r="X28" i="2"/>
  <c r="X29" i="2"/>
  <c r="AG29" i="2"/>
  <c r="K27" i="4"/>
  <c r="M19" i="4"/>
  <c r="X19" i="4"/>
  <c r="G34" i="4"/>
  <c r="X23" i="4"/>
  <c r="M23" i="4"/>
  <c r="X22" i="4"/>
  <c r="M22" i="4"/>
  <c r="X17" i="4"/>
  <c r="M17" i="4"/>
  <c r="G32" i="4"/>
  <c r="G31" i="4"/>
  <c r="W27" i="4"/>
  <c r="X10" i="4"/>
  <c r="X24" i="4"/>
  <c r="M24" i="4"/>
  <c r="M21" i="4"/>
  <c r="X21" i="4"/>
  <c r="X23" i="2"/>
  <c r="X25" i="2"/>
  <c r="M25" i="2"/>
  <c r="AG25" i="2"/>
  <c r="AH25" i="2"/>
  <c r="X27" i="2"/>
  <c r="X24" i="2"/>
  <c r="X26" i="2"/>
  <c r="X22" i="2"/>
  <c r="G21" i="2"/>
  <c r="G34" i="1"/>
  <c r="H34" i="1"/>
  <c r="G33" i="1"/>
  <c r="H33" i="1"/>
  <c r="G32" i="1"/>
  <c r="H32" i="1"/>
  <c r="G31" i="1"/>
  <c r="H31" i="1"/>
  <c r="G30" i="1"/>
  <c r="H30" i="1"/>
  <c r="G29" i="1"/>
  <c r="H29" i="1"/>
  <c r="G28" i="1"/>
  <c r="H28" i="1"/>
  <c r="G27" i="1"/>
  <c r="H27" i="1"/>
  <c r="G26" i="1"/>
  <c r="H26" i="1"/>
  <c r="C21" i="2"/>
  <c r="G44" i="1"/>
  <c r="H44" i="1"/>
  <c r="G43" i="1"/>
  <c r="H43" i="1"/>
  <c r="G42" i="1"/>
  <c r="H42" i="1"/>
  <c r="G41" i="1"/>
  <c r="H41" i="1"/>
  <c r="I41" i="1"/>
  <c r="Q41" i="1"/>
  <c r="G40" i="1"/>
  <c r="H40" i="1"/>
  <c r="G39" i="1"/>
  <c r="H39" i="1"/>
  <c r="G38" i="1"/>
  <c r="H38" i="1"/>
  <c r="G37" i="1"/>
  <c r="H37" i="1"/>
  <c r="G36" i="1"/>
  <c r="H36" i="1"/>
  <c r="G35" i="1"/>
  <c r="H35" i="1"/>
  <c r="G25" i="1"/>
  <c r="H25" i="1"/>
  <c r="I25" i="1"/>
  <c r="U20" i="2"/>
  <c r="U19" i="2"/>
  <c r="G20" i="2"/>
  <c r="G19" i="2"/>
  <c r="E20" i="2"/>
  <c r="E19" i="2"/>
  <c r="C20" i="2"/>
  <c r="C19" i="2"/>
  <c r="G24" i="1"/>
  <c r="H24" i="1"/>
  <c r="I24" i="1"/>
  <c r="G23" i="1"/>
  <c r="H23" i="1"/>
  <c r="I23" i="1"/>
  <c r="G22" i="1"/>
  <c r="H22" i="1"/>
  <c r="I22" i="1"/>
  <c r="H46" i="2"/>
  <c r="G13" i="2"/>
  <c r="G14" i="2"/>
  <c r="G15" i="2"/>
  <c r="G16" i="2"/>
  <c r="G17" i="2"/>
  <c r="G18" i="2"/>
  <c r="G12" i="2"/>
  <c r="E18" i="2"/>
  <c r="O18" i="2"/>
  <c r="U18" i="2"/>
  <c r="E17" i="2"/>
  <c r="O17" i="2"/>
  <c r="U17" i="2"/>
  <c r="E16" i="2"/>
  <c r="O16" i="2"/>
  <c r="U16" i="2"/>
  <c r="V16" i="2"/>
  <c r="E15" i="2"/>
  <c r="E14" i="2"/>
  <c r="N14" i="2"/>
  <c r="U14" i="2"/>
  <c r="E13" i="2"/>
  <c r="E12" i="2"/>
  <c r="G7" i="2"/>
  <c r="H7" i="2"/>
  <c r="I7" i="2"/>
  <c r="K7" i="2"/>
  <c r="G10" i="2"/>
  <c r="K10" i="2"/>
  <c r="E7" i="2"/>
  <c r="E10" i="2"/>
  <c r="C18" i="2"/>
  <c r="C17" i="2"/>
  <c r="C16" i="2"/>
  <c r="C15" i="2"/>
  <c r="C14" i="2"/>
  <c r="C13" i="2"/>
  <c r="AH29" i="2"/>
  <c r="X40" i="2"/>
  <c r="M27" i="4"/>
  <c r="C45" i="4"/>
  <c r="X27" i="4"/>
  <c r="H40" i="4"/>
  <c r="G37" i="4"/>
  <c r="K31" i="4"/>
  <c r="K32" i="4"/>
  <c r="K33" i="4"/>
  <c r="K34" i="4"/>
  <c r="K35" i="4"/>
  <c r="K36" i="4"/>
  <c r="N22" i="1"/>
  <c r="Q22" i="1"/>
  <c r="N23" i="1"/>
  <c r="Q23" i="1"/>
  <c r="N24" i="1"/>
  <c r="Q24" i="1"/>
  <c r="I27" i="1"/>
  <c r="Q27" i="1"/>
  <c r="I28" i="1"/>
  <c r="Q28" i="1"/>
  <c r="I39" i="1"/>
  <c r="Q39" i="1"/>
  <c r="I30" i="1"/>
  <c r="Q30" i="1"/>
  <c r="I40" i="1"/>
  <c r="Q40" i="1"/>
  <c r="I31" i="1"/>
  <c r="Q31" i="1"/>
  <c r="I32" i="1"/>
  <c r="Q32" i="1"/>
  <c r="I29" i="1"/>
  <c r="Q29" i="1"/>
  <c r="I42" i="1"/>
  <c r="Q42" i="1"/>
  <c r="I33" i="1"/>
  <c r="Q33" i="1"/>
  <c r="I35" i="1"/>
  <c r="Q35" i="1"/>
  <c r="I26" i="1"/>
  <c r="Q26" i="1"/>
  <c r="I36" i="1"/>
  <c r="Q36" i="1"/>
  <c r="I37" i="1"/>
  <c r="Q37" i="1"/>
  <c r="I38" i="1"/>
  <c r="Q38" i="1"/>
  <c r="I43" i="1"/>
  <c r="Q43" i="1"/>
  <c r="I34" i="1"/>
  <c r="Q34" i="1"/>
  <c r="I44" i="1"/>
  <c r="Q44" i="1"/>
  <c r="H21" i="2"/>
  <c r="I21" i="2"/>
  <c r="Q25" i="1"/>
  <c r="I19" i="2"/>
  <c r="I20" i="2"/>
  <c r="V21" i="2"/>
  <c r="H20" i="2"/>
  <c r="H19" i="2"/>
  <c r="V19" i="2"/>
  <c r="V20" i="2"/>
  <c r="H13" i="2"/>
  <c r="H15" i="2"/>
  <c r="V17" i="2"/>
  <c r="H18" i="2"/>
  <c r="V18" i="2"/>
  <c r="N12" i="2"/>
  <c r="U12" i="2"/>
  <c r="V12" i="2"/>
  <c r="V14" i="2"/>
  <c r="N13" i="2"/>
  <c r="U13" i="2"/>
  <c r="V13" i="2"/>
  <c r="H12" i="2"/>
  <c r="O15" i="2"/>
  <c r="U15" i="2"/>
  <c r="H14" i="2"/>
  <c r="H16" i="2"/>
  <c r="H17" i="2"/>
  <c r="P13" i="1"/>
  <c r="P14" i="1"/>
  <c r="P15" i="1"/>
  <c r="P16" i="1"/>
  <c r="P17" i="1"/>
  <c r="P18" i="1"/>
  <c r="P19" i="1"/>
  <c r="P20" i="1"/>
  <c r="P21" i="1"/>
  <c r="P12" i="1"/>
  <c r="G21" i="1"/>
  <c r="H21" i="1"/>
  <c r="I21" i="1"/>
  <c r="N21" i="1"/>
  <c r="G20" i="1"/>
  <c r="H20" i="1"/>
  <c r="G19" i="1"/>
  <c r="H19" i="1"/>
  <c r="I19" i="1"/>
  <c r="N19" i="1"/>
  <c r="G18" i="1"/>
  <c r="H18" i="1"/>
  <c r="G17" i="1"/>
  <c r="H17" i="1"/>
  <c r="I17" i="1"/>
  <c r="N17" i="1"/>
  <c r="G16" i="1"/>
  <c r="H16" i="1"/>
  <c r="I16" i="1"/>
  <c r="N16" i="1"/>
  <c r="G15" i="1"/>
  <c r="H15" i="1"/>
  <c r="G14" i="1"/>
  <c r="H14" i="1"/>
  <c r="I14" i="1"/>
  <c r="G13" i="1"/>
  <c r="H13" i="1"/>
  <c r="I13" i="1"/>
  <c r="N13" i="1"/>
  <c r="G12" i="1"/>
  <c r="H12" i="1"/>
  <c r="P11" i="1"/>
  <c r="P10" i="1"/>
  <c r="P9" i="1"/>
  <c r="P8" i="1"/>
  <c r="P7" i="1"/>
  <c r="P6" i="1"/>
  <c r="P5" i="1"/>
  <c r="P4" i="1"/>
  <c r="G11" i="1"/>
  <c r="H11" i="1"/>
  <c r="I11" i="1"/>
  <c r="N11" i="1"/>
  <c r="Q11" i="1"/>
  <c r="G10" i="1"/>
  <c r="H10" i="1"/>
  <c r="I10" i="1"/>
  <c r="G9" i="1"/>
  <c r="H9" i="1"/>
  <c r="G8" i="1"/>
  <c r="H8" i="1"/>
  <c r="I8" i="1"/>
  <c r="G7" i="1"/>
  <c r="H7" i="1"/>
  <c r="I7" i="1"/>
  <c r="N7" i="1"/>
  <c r="G6" i="1"/>
  <c r="H6" i="1"/>
  <c r="G5" i="1"/>
  <c r="H5" i="1"/>
  <c r="I5" i="1"/>
  <c r="N5" i="1"/>
  <c r="G4" i="1"/>
  <c r="H4" i="1"/>
  <c r="C5" i="3"/>
  <c r="C44" i="4"/>
  <c r="C46" i="4"/>
  <c r="C48" i="4"/>
  <c r="C50" i="4"/>
  <c r="K37" i="4"/>
  <c r="K20" i="2"/>
  <c r="M20" i="2"/>
  <c r="AG20" i="2"/>
  <c r="AH20" i="2"/>
  <c r="C3" i="3"/>
  <c r="C7" i="3"/>
  <c r="K19" i="2"/>
  <c r="M19" i="2"/>
  <c r="I41" i="2"/>
  <c r="K21" i="2"/>
  <c r="M21" i="2"/>
  <c r="AG21" i="2"/>
  <c r="AH21" i="2"/>
  <c r="J21" i="2"/>
  <c r="W21" i="2"/>
  <c r="J19" i="2"/>
  <c r="W19" i="2"/>
  <c r="J20" i="2"/>
  <c r="W20" i="2"/>
  <c r="I9" i="1"/>
  <c r="I14" i="2"/>
  <c r="I12" i="1"/>
  <c r="N12" i="1"/>
  <c r="Q12" i="1"/>
  <c r="I15" i="2"/>
  <c r="I18" i="1"/>
  <c r="N18" i="1"/>
  <c r="I17" i="2"/>
  <c r="I20" i="1"/>
  <c r="N20" i="1"/>
  <c r="I18" i="2"/>
  <c r="I15" i="1"/>
  <c r="N15" i="1"/>
  <c r="Q15" i="1"/>
  <c r="I16" i="2"/>
  <c r="I4" i="1"/>
  <c r="N4" i="1"/>
  <c r="I12" i="2"/>
  <c r="I6" i="1"/>
  <c r="N6" i="1"/>
  <c r="Q6" i="1"/>
  <c r="I13" i="2"/>
  <c r="V15" i="2"/>
  <c r="Q16" i="1"/>
  <c r="N14" i="1"/>
  <c r="Q14" i="1"/>
  <c r="Q21" i="1"/>
  <c r="Q7" i="1"/>
  <c r="Q19" i="1"/>
  <c r="Q17" i="1"/>
  <c r="Q13" i="1"/>
  <c r="N8" i="1"/>
  <c r="Q8" i="1"/>
  <c r="N9" i="1"/>
  <c r="Q9" i="1"/>
  <c r="Q5" i="1"/>
  <c r="N10" i="1"/>
  <c r="Q10" i="1"/>
  <c r="G44" i="2"/>
  <c r="AG19" i="2"/>
  <c r="AH19" i="2"/>
  <c r="D5" i="3"/>
  <c r="I36" i="2"/>
  <c r="X28" i="4"/>
  <c r="H42" i="4"/>
  <c r="H44" i="4"/>
  <c r="X20" i="2"/>
  <c r="D3" i="3"/>
  <c r="D7" i="3"/>
  <c r="X19" i="2"/>
  <c r="X21" i="2"/>
  <c r="I46" i="2"/>
  <c r="H50" i="2"/>
  <c r="Q18" i="1"/>
  <c r="Q20" i="1"/>
  <c r="K18" i="2"/>
  <c r="M18" i="2"/>
  <c r="AG18" i="2"/>
  <c r="AH18" i="2"/>
  <c r="J18" i="2"/>
  <c r="W18" i="2"/>
  <c r="K17" i="2"/>
  <c r="M17" i="2"/>
  <c r="AG17" i="2"/>
  <c r="AH17" i="2"/>
  <c r="J17" i="2"/>
  <c r="W17" i="2"/>
  <c r="K16" i="2"/>
  <c r="M16" i="2"/>
  <c r="AG16" i="2"/>
  <c r="AH16" i="2"/>
  <c r="J16" i="2"/>
  <c r="W16" i="2"/>
  <c r="K15" i="2"/>
  <c r="M15" i="2"/>
  <c r="AG15" i="2"/>
  <c r="AH15" i="2"/>
  <c r="J15" i="2"/>
  <c r="W15" i="2"/>
  <c r="F41" i="2"/>
  <c r="K13" i="2"/>
  <c r="M13" i="2"/>
  <c r="AG13" i="2"/>
  <c r="AH13" i="2"/>
  <c r="J13" i="2"/>
  <c r="W13" i="2"/>
  <c r="K14" i="2"/>
  <c r="M14" i="2"/>
  <c r="AG14" i="2"/>
  <c r="AH14" i="2"/>
  <c r="J14" i="2"/>
  <c r="W14" i="2"/>
  <c r="Q4" i="1"/>
  <c r="K12" i="2"/>
  <c r="F40" i="2"/>
  <c r="J12" i="2"/>
  <c r="W12" i="2"/>
  <c r="C54" i="2"/>
  <c r="X16" i="2"/>
  <c r="M12" i="2"/>
  <c r="K36" i="2"/>
  <c r="W36" i="2"/>
  <c r="X18" i="2"/>
  <c r="X12" i="2"/>
  <c r="G41" i="2"/>
  <c r="X17" i="2"/>
  <c r="X13" i="2"/>
  <c r="X14" i="2"/>
  <c r="G40" i="2"/>
  <c r="X15" i="2"/>
  <c r="F46" i="2"/>
  <c r="X36" i="2"/>
  <c r="M36" i="2"/>
  <c r="AG12" i="2"/>
  <c r="AH12" i="2"/>
  <c r="H48" i="2"/>
  <c r="G46" i="2"/>
  <c r="K40" i="2"/>
  <c r="K41" i="2"/>
  <c r="K42" i="2"/>
  <c r="K43" i="2"/>
  <c r="K44" i="2"/>
  <c r="K45" i="2"/>
  <c r="H49" i="2"/>
  <c r="X37" i="2"/>
  <c r="C53" i="2"/>
  <c r="C55" i="2"/>
  <c r="C57" i="2"/>
  <c r="C59" i="2"/>
  <c r="K46" i="2"/>
  <c r="K50" i="2"/>
  <c r="H51" i="2"/>
  <c r="D67" i="24" l="1"/>
  <c r="AA57" i="24"/>
  <c r="C63" i="24"/>
  <c r="K61" i="24"/>
  <c r="K77" i="24" s="1"/>
  <c r="AB57" i="24"/>
  <c r="I83" i="24"/>
  <c r="N61" i="24"/>
  <c r="N62" i="24" s="1"/>
  <c r="N63" i="24" s="1"/>
  <c r="N64" i="24" s="1"/>
  <c r="N65" i="24" s="1"/>
  <c r="N66" i="24" s="1"/>
  <c r="N67" i="24" s="1"/>
  <c r="N68" i="24" s="1"/>
  <c r="N69" i="24" s="1"/>
  <c r="N70" i="24" s="1"/>
  <c r="N71" i="24" s="1"/>
  <c r="N72" i="24" s="1"/>
  <c r="N73" i="24" s="1"/>
  <c r="N74" i="24" s="1"/>
  <c r="N75" i="24" s="1"/>
  <c r="N76" i="24" s="1"/>
  <c r="E57" i="24"/>
  <c r="AC40" i="23"/>
  <c r="F40" i="23"/>
  <c r="AC44" i="23"/>
  <c r="F44" i="23"/>
  <c r="N13" i="23"/>
  <c r="F13" i="23"/>
  <c r="AC33" i="23"/>
  <c r="F33" i="23"/>
  <c r="N15" i="23"/>
  <c r="P15" i="23" s="1"/>
  <c r="F15" i="23"/>
  <c r="AC41" i="23"/>
  <c r="F41" i="23" s="1"/>
  <c r="AC38" i="23"/>
  <c r="F38" i="23" s="1"/>
  <c r="N16" i="23"/>
  <c r="F16" i="23"/>
  <c r="N14" i="23"/>
  <c r="P14" i="23" s="1"/>
  <c r="F14" i="23"/>
  <c r="AC43" i="23"/>
  <c r="F43" i="23"/>
  <c r="N21" i="23"/>
  <c r="P21" i="23" s="1"/>
  <c r="F21" i="23"/>
  <c r="AC31" i="23"/>
  <c r="F31" i="23" s="1"/>
  <c r="AC36" i="23"/>
  <c r="F36" i="23" s="1"/>
  <c r="AL22" i="23"/>
  <c r="AM22" i="23" s="1"/>
  <c r="M37" i="23"/>
  <c r="AA37" i="23" s="1"/>
  <c r="AB37" i="23" s="1"/>
  <c r="AC37" i="23"/>
  <c r="F37" i="23" s="1"/>
  <c r="M42" i="23"/>
  <c r="AA42" i="23" s="1"/>
  <c r="AC42" i="23"/>
  <c r="F42" i="23" s="1"/>
  <c r="M39" i="23"/>
  <c r="AA39" i="23" s="1"/>
  <c r="AC39" i="23"/>
  <c r="F39" i="23" s="1"/>
  <c r="M44" i="23"/>
  <c r="N44" i="23"/>
  <c r="N31" i="23"/>
  <c r="C75" i="23"/>
  <c r="AG26" i="23"/>
  <c r="AG24" i="23"/>
  <c r="AG19" i="23"/>
  <c r="K19" i="23"/>
  <c r="AF21" i="23"/>
  <c r="M38" i="23"/>
  <c r="AA38" i="23" s="1"/>
  <c r="N38" i="23"/>
  <c r="M41" i="23"/>
  <c r="AA41" i="23" s="1"/>
  <c r="N41" i="23"/>
  <c r="N77" i="23"/>
  <c r="N33" i="23"/>
  <c r="P33" i="23" s="1"/>
  <c r="M40" i="23"/>
  <c r="AA40" i="23" s="1"/>
  <c r="N40" i="23"/>
  <c r="M43" i="23"/>
  <c r="AA43" i="23" s="1"/>
  <c r="L56" i="23"/>
  <c r="N35" i="23"/>
  <c r="P35" i="23" s="1"/>
  <c r="E35" i="23" s="1"/>
  <c r="M35" i="23"/>
  <c r="AA35" i="23" s="1"/>
  <c r="M16" i="23"/>
  <c r="AA16" i="23" s="1"/>
  <c r="AF23" i="23"/>
  <c r="AF25" i="23"/>
  <c r="M18" i="23"/>
  <c r="AF27" i="23"/>
  <c r="K20" i="23"/>
  <c r="Z36" i="23"/>
  <c r="K13" i="23"/>
  <c r="M20" i="23"/>
  <c r="AA20" i="23" s="1"/>
  <c r="AA22" i="23"/>
  <c r="M13" i="23"/>
  <c r="AA13" i="23" s="1"/>
  <c r="N20" i="23"/>
  <c r="P20" i="23" s="1"/>
  <c r="K17" i="23"/>
  <c r="L52" i="23"/>
  <c r="N37" i="23"/>
  <c r="Z12" i="23"/>
  <c r="M17" i="23"/>
  <c r="AA17" i="23" s="1"/>
  <c r="M19" i="23"/>
  <c r="AA19" i="23" s="1"/>
  <c r="AG22" i="23"/>
  <c r="N17" i="23"/>
  <c r="P17" i="23" s="1"/>
  <c r="Z19" i="23"/>
  <c r="K12" i="23"/>
  <c r="AF20" i="23"/>
  <c r="K16" i="23"/>
  <c r="N39" i="23"/>
  <c r="P39" i="23" s="1"/>
  <c r="J14" i="22"/>
  <c r="AE27" i="22"/>
  <c r="AE19" i="22"/>
  <c r="P16" i="23"/>
  <c r="M85" i="23"/>
  <c r="N85" i="23"/>
  <c r="L65" i="23"/>
  <c r="AB86" i="23"/>
  <c r="P86" i="23"/>
  <c r="N30" i="23"/>
  <c r="M30" i="23"/>
  <c r="AA30" i="23" s="1"/>
  <c r="AB87" i="23"/>
  <c r="P87" i="23"/>
  <c r="N88" i="23"/>
  <c r="M88" i="23"/>
  <c r="N24" i="23"/>
  <c r="M24" i="23"/>
  <c r="AA24" i="23" s="1"/>
  <c r="M89" i="23"/>
  <c r="N89" i="23"/>
  <c r="M26" i="23"/>
  <c r="AA26" i="23" s="1"/>
  <c r="N26" i="23"/>
  <c r="N76" i="23"/>
  <c r="M31" i="23"/>
  <c r="AA31" i="23" s="1"/>
  <c r="Z13" i="23"/>
  <c r="L64" i="23"/>
  <c r="L54" i="23"/>
  <c r="N29" i="23"/>
  <c r="M29" i="23"/>
  <c r="AA29" i="23" s="1"/>
  <c r="Z16" i="23"/>
  <c r="N23" i="23"/>
  <c r="M23" i="23"/>
  <c r="AA23" i="23" s="1"/>
  <c r="L53" i="23"/>
  <c r="N25" i="23"/>
  <c r="M25" i="23"/>
  <c r="AA25" i="23" s="1"/>
  <c r="N27" i="23"/>
  <c r="M27" i="23"/>
  <c r="AA27" i="23" s="1"/>
  <c r="P13" i="23"/>
  <c r="N18" i="23"/>
  <c r="N42" i="23"/>
  <c r="N43" i="23"/>
  <c r="K14" i="23"/>
  <c r="Z15" i="23"/>
  <c r="R18" i="23"/>
  <c r="Y18" i="23" s="1"/>
  <c r="Z18" i="23" s="1"/>
  <c r="M33" i="23"/>
  <c r="AA33" i="23" s="1"/>
  <c r="P36" i="23"/>
  <c r="E36" i="23" s="1"/>
  <c r="M14" i="23"/>
  <c r="AA14" i="23" s="1"/>
  <c r="Z20" i="23"/>
  <c r="M12" i="23"/>
  <c r="AA12" i="23" s="1"/>
  <c r="N19" i="23"/>
  <c r="M21" i="23"/>
  <c r="AA21" i="23" s="1"/>
  <c r="I51" i="23"/>
  <c r="L55" i="23"/>
  <c r="N12" i="23"/>
  <c r="K15" i="23"/>
  <c r="M15" i="23"/>
  <c r="AA15" i="23" s="1"/>
  <c r="I52" i="23"/>
  <c r="AD24" i="22"/>
  <c r="L12" i="22"/>
  <c r="L16" i="22"/>
  <c r="Z16" i="22" s="1"/>
  <c r="P14" i="22"/>
  <c r="X14" i="22" s="1"/>
  <c r="AE25" i="22"/>
  <c r="K69" i="22"/>
  <c r="M12" i="22"/>
  <c r="O12" i="22" s="1"/>
  <c r="AE22" i="22"/>
  <c r="AA35" i="22"/>
  <c r="J20" i="22"/>
  <c r="K51" i="22"/>
  <c r="C65" i="22" s="1"/>
  <c r="H56" i="22"/>
  <c r="L17" i="22"/>
  <c r="J19" i="22"/>
  <c r="AE23" i="22"/>
  <c r="AA22" i="22"/>
  <c r="M16" i="22"/>
  <c r="O16" i="22" s="1"/>
  <c r="E16" i="22" s="1"/>
  <c r="J12" i="22"/>
  <c r="Y18" i="22"/>
  <c r="Y22" i="22"/>
  <c r="O20" i="22"/>
  <c r="M44" i="22"/>
  <c r="L44" i="22"/>
  <c r="O13" i="22"/>
  <c r="M25" i="22"/>
  <c r="L25" i="22"/>
  <c r="Z25" i="22" s="1"/>
  <c r="M33" i="22"/>
  <c r="O33" i="22" s="1"/>
  <c r="L33" i="22"/>
  <c r="Z33" i="22" s="1"/>
  <c r="M40" i="22"/>
  <c r="L40" i="22"/>
  <c r="Z40" i="22" s="1"/>
  <c r="AA45" i="22"/>
  <c r="O45" i="22"/>
  <c r="M36" i="22"/>
  <c r="L36" i="22"/>
  <c r="Z36" i="22" s="1"/>
  <c r="O19" i="22"/>
  <c r="M27" i="22"/>
  <c r="L27" i="22"/>
  <c r="Z27" i="22" s="1"/>
  <c r="M30" i="22"/>
  <c r="L30" i="22"/>
  <c r="Z30" i="22" s="1"/>
  <c r="AA46" i="22"/>
  <c r="O46" i="22"/>
  <c r="M37" i="22"/>
  <c r="L37" i="22"/>
  <c r="Z37" i="22" s="1"/>
  <c r="L47" i="22"/>
  <c r="M47" i="22"/>
  <c r="M41" i="22"/>
  <c r="L41" i="22"/>
  <c r="Z41" i="22" s="1"/>
  <c r="M48" i="22"/>
  <c r="L48" i="22"/>
  <c r="L21" i="22"/>
  <c r="Z21" i="22" s="1"/>
  <c r="M21" i="22"/>
  <c r="M24" i="22"/>
  <c r="L24" i="22"/>
  <c r="Z24" i="22" s="1"/>
  <c r="M80" i="22"/>
  <c r="M31" i="22"/>
  <c r="L31" i="22"/>
  <c r="Z31" i="22" s="1"/>
  <c r="O14" i="22"/>
  <c r="M84" i="22"/>
  <c r="Z12" i="22"/>
  <c r="O18" i="22"/>
  <c r="M38" i="22"/>
  <c r="L38" i="22"/>
  <c r="Z38" i="22" s="1"/>
  <c r="K60" i="22"/>
  <c r="M42" i="22"/>
  <c r="L42" i="22"/>
  <c r="Z42" i="22" s="1"/>
  <c r="M26" i="22"/>
  <c r="L26" i="22"/>
  <c r="Z26" i="22" s="1"/>
  <c r="O32" i="22"/>
  <c r="M23" i="22"/>
  <c r="L23" i="22"/>
  <c r="Z23" i="22" s="1"/>
  <c r="K57" i="22"/>
  <c r="K68" i="22"/>
  <c r="M29" i="22"/>
  <c r="L29" i="22"/>
  <c r="Z29" i="22" s="1"/>
  <c r="K58" i="22"/>
  <c r="M39" i="22"/>
  <c r="L39" i="22"/>
  <c r="Z39" i="22" s="1"/>
  <c r="M43" i="22"/>
  <c r="L43" i="22"/>
  <c r="AD20" i="22"/>
  <c r="AD26" i="22"/>
  <c r="J13" i="22"/>
  <c r="Y14" i="22"/>
  <c r="L15" i="22"/>
  <c r="O17" i="22"/>
  <c r="M81" i="22"/>
  <c r="M15" i="22"/>
  <c r="Q17" i="22"/>
  <c r="X17" i="22" s="1"/>
  <c r="Y17" i="22" s="1"/>
  <c r="J18" i="22"/>
  <c r="L13" i="22"/>
  <c r="Q15" i="22"/>
  <c r="X15" i="22" s="1"/>
  <c r="Y15" i="22" s="1"/>
  <c r="J16" i="22"/>
  <c r="L18" i="22"/>
  <c r="Z18" i="22" s="1"/>
  <c r="AA18" i="22" s="1"/>
  <c r="L20" i="22"/>
  <c r="Z20" i="22" s="1"/>
  <c r="AA20" i="22" s="1"/>
  <c r="H55" i="22"/>
  <c r="K59" i="22"/>
  <c r="C66" i="22"/>
  <c r="O22" i="22"/>
  <c r="P13" i="22"/>
  <c r="X13" i="22" s="1"/>
  <c r="Y13" i="22" s="1"/>
  <c r="L32" i="22"/>
  <c r="Z32" i="22" s="1"/>
  <c r="L81" i="22" s="1"/>
  <c r="N80" i="22" s="1"/>
  <c r="L14" i="22"/>
  <c r="Z14" i="22" s="1"/>
  <c r="AA14" i="22" s="1"/>
  <c r="L19" i="22"/>
  <c r="Z19" i="22" s="1"/>
  <c r="AA19" i="22" s="1"/>
  <c r="Y35" i="22"/>
  <c r="K56" i="22"/>
  <c r="M49" i="20"/>
  <c r="L49" i="20"/>
  <c r="AA46" i="20"/>
  <c r="O46" i="20"/>
  <c r="M48" i="20"/>
  <c r="L48" i="20"/>
  <c r="E17" i="20"/>
  <c r="E18" i="20"/>
  <c r="E20" i="20"/>
  <c r="C67" i="20"/>
  <c r="Y20" i="20"/>
  <c r="E22" i="20"/>
  <c r="K45" i="20"/>
  <c r="M85" i="20" s="1"/>
  <c r="E13" i="20"/>
  <c r="AA47" i="20"/>
  <c r="O47" i="20"/>
  <c r="J18" i="20"/>
  <c r="Z37" i="20"/>
  <c r="AA22" i="20"/>
  <c r="L12" i="20"/>
  <c r="AD24" i="20"/>
  <c r="AD25" i="20"/>
  <c r="AE26" i="20"/>
  <c r="J15" i="20"/>
  <c r="AD19" i="20"/>
  <c r="J13" i="20"/>
  <c r="J12" i="20"/>
  <c r="J14" i="20"/>
  <c r="Y22" i="20"/>
  <c r="H57" i="20"/>
  <c r="L20" i="20"/>
  <c r="Z20" i="20" s="1"/>
  <c r="AA20" i="20" s="1"/>
  <c r="L17" i="20"/>
  <c r="L14" i="20"/>
  <c r="Z14" i="20" s="1"/>
  <c r="AL13" i="20"/>
  <c r="L42" i="20"/>
  <c r="Z42" i="20" s="1"/>
  <c r="M42" i="20"/>
  <c r="O42" i="20" s="1"/>
  <c r="L31" i="20"/>
  <c r="Z31" i="20" s="1"/>
  <c r="M31" i="20"/>
  <c r="O31" i="20" s="1"/>
  <c r="E31" i="20" s="1"/>
  <c r="M44" i="20"/>
  <c r="L44" i="20"/>
  <c r="J16" i="20"/>
  <c r="AL22" i="20"/>
  <c r="AL17" i="20"/>
  <c r="M15" i="20"/>
  <c r="O15" i="20" s="1"/>
  <c r="Y19" i="20"/>
  <c r="M14" i="20"/>
  <c r="O14" i="20" s="1"/>
  <c r="L15" i="20"/>
  <c r="Z15" i="20" s="1"/>
  <c r="AD21" i="20"/>
  <c r="J17" i="20"/>
  <c r="L13" i="20"/>
  <c r="AL18" i="20"/>
  <c r="AD22" i="20"/>
  <c r="AD27" i="20"/>
  <c r="Q18" i="20"/>
  <c r="X18" i="20" s="1"/>
  <c r="Y18" i="20" s="1"/>
  <c r="L43" i="20"/>
  <c r="M43" i="20"/>
  <c r="K61" i="20"/>
  <c r="M29" i="20"/>
  <c r="K69" i="20"/>
  <c r="L29" i="20"/>
  <c r="Z29" i="20" s="1"/>
  <c r="K59" i="20"/>
  <c r="L30" i="20"/>
  <c r="Z30" i="20" s="1"/>
  <c r="M30" i="20"/>
  <c r="O19" i="20"/>
  <c r="E19" i="20" s="1"/>
  <c r="L33" i="20"/>
  <c r="M33" i="20"/>
  <c r="M27" i="20"/>
  <c r="L27" i="20"/>
  <c r="Z27" i="20" s="1"/>
  <c r="AL20" i="20"/>
  <c r="L26" i="20"/>
  <c r="Z26" i="20" s="1"/>
  <c r="M26" i="20"/>
  <c r="L32" i="20"/>
  <c r="Z32" i="20" s="1"/>
  <c r="M82" i="20"/>
  <c r="M32" i="20"/>
  <c r="M25" i="20"/>
  <c r="L25" i="20"/>
  <c r="Z25" i="20" s="1"/>
  <c r="L41" i="20"/>
  <c r="Z41" i="20" s="1"/>
  <c r="M41" i="20"/>
  <c r="L24" i="20"/>
  <c r="Z24" i="20" s="1"/>
  <c r="M24" i="20"/>
  <c r="AK12" i="20"/>
  <c r="AL12" i="20" s="1"/>
  <c r="L21" i="20"/>
  <c r="Z21" i="20" s="1"/>
  <c r="K57" i="20"/>
  <c r="M21" i="20"/>
  <c r="L23" i="20"/>
  <c r="Z23" i="20" s="1"/>
  <c r="M23" i="20"/>
  <c r="K58" i="20"/>
  <c r="O16" i="20"/>
  <c r="Q16" i="20"/>
  <c r="X16" i="20" s="1"/>
  <c r="Y16" i="20" s="1"/>
  <c r="L19" i="20"/>
  <c r="Z19" i="20" s="1"/>
  <c r="AA19" i="20" s="1"/>
  <c r="L16" i="20"/>
  <c r="AA35" i="20"/>
  <c r="J20" i="20"/>
  <c r="P13" i="20"/>
  <c r="X13" i="20" s="1"/>
  <c r="Y13" i="20" s="1"/>
  <c r="J19" i="20"/>
  <c r="AD20" i="20"/>
  <c r="AD23" i="20"/>
  <c r="Q17" i="20"/>
  <c r="X17" i="20" s="1"/>
  <c r="Y17" i="20" s="1"/>
  <c r="H56" i="20"/>
  <c r="P12" i="20"/>
  <c r="X12" i="20" s="1"/>
  <c r="Y12" i="20" s="1"/>
  <c r="M37" i="20"/>
  <c r="AA37" i="20" s="1"/>
  <c r="M36" i="20"/>
  <c r="L36" i="20"/>
  <c r="Z36" i="20" s="1"/>
  <c r="M81" i="20"/>
  <c r="L38" i="20"/>
  <c r="Z38" i="20" s="1"/>
  <c r="M38" i="20"/>
  <c r="K60" i="20"/>
  <c r="L40" i="20"/>
  <c r="Z40" i="20" s="1"/>
  <c r="M40" i="20"/>
  <c r="L39" i="20"/>
  <c r="Z39" i="20" s="1"/>
  <c r="M39" i="20"/>
  <c r="O35" i="20"/>
  <c r="Y35" i="20"/>
  <c r="M81" i="24" l="1"/>
  <c r="M84" i="24" s="1"/>
  <c r="N77" i="24"/>
  <c r="AB14" i="23"/>
  <c r="E14" i="23" s="1"/>
  <c r="AB33" i="23"/>
  <c r="E33" i="23" s="1"/>
  <c r="AB15" i="23"/>
  <c r="E15" i="23" s="1"/>
  <c r="AB31" i="23"/>
  <c r="AB16" i="23"/>
  <c r="E16" i="23" s="1"/>
  <c r="AB21" i="23"/>
  <c r="E21" i="23" s="1"/>
  <c r="AB13" i="23"/>
  <c r="E13" i="23" s="1"/>
  <c r="AB22" i="23"/>
  <c r="E22" i="23" s="1"/>
  <c r="AL20" i="23"/>
  <c r="AM20" i="23" s="1"/>
  <c r="AL17" i="23"/>
  <c r="AM17" i="23" s="1"/>
  <c r="AB42" i="23"/>
  <c r="AB39" i="23"/>
  <c r="E39" i="23" s="1"/>
  <c r="AB43" i="23"/>
  <c r="AB40" i="23"/>
  <c r="AB38" i="23"/>
  <c r="AB41" i="23"/>
  <c r="N78" i="23"/>
  <c r="M76" i="23"/>
  <c r="O75" i="23" s="1"/>
  <c r="AB20" i="23"/>
  <c r="E20" i="23" s="1"/>
  <c r="P40" i="23"/>
  <c r="AB17" i="23"/>
  <c r="E17" i="23" s="1"/>
  <c r="P37" i="23"/>
  <c r="E37" i="23" s="1"/>
  <c r="L66" i="23"/>
  <c r="M72" i="23" s="1"/>
  <c r="P41" i="23"/>
  <c r="P38" i="23"/>
  <c r="Z13" i="22"/>
  <c r="AA13" i="22" s="1"/>
  <c r="AB30" i="23"/>
  <c r="P30" i="23"/>
  <c r="E30" i="23" s="1"/>
  <c r="AA18" i="23"/>
  <c r="I66" i="23"/>
  <c r="C74" i="23" s="1"/>
  <c r="AB25" i="23"/>
  <c r="P25" i="23"/>
  <c r="AB24" i="23"/>
  <c r="P24" i="23"/>
  <c r="AL21" i="23"/>
  <c r="AM21" i="23" s="1"/>
  <c r="AB19" i="23"/>
  <c r="P19" i="23"/>
  <c r="AB44" i="23"/>
  <c r="P44" i="23"/>
  <c r="AL15" i="23"/>
  <c r="AM15" i="23" s="1"/>
  <c r="AL14" i="23"/>
  <c r="AM14" i="23" s="1"/>
  <c r="P43" i="23"/>
  <c r="AB23" i="23"/>
  <c r="P23" i="23"/>
  <c r="J51" i="23"/>
  <c r="N51" i="23" s="1"/>
  <c r="P42" i="23"/>
  <c r="AB88" i="23"/>
  <c r="P88" i="23"/>
  <c r="P18" i="23"/>
  <c r="P31" i="23"/>
  <c r="AB85" i="23"/>
  <c r="P85" i="23"/>
  <c r="AB26" i="23"/>
  <c r="P26" i="23"/>
  <c r="E26" i="23" s="1"/>
  <c r="AL13" i="23"/>
  <c r="AM13" i="23" s="1"/>
  <c r="AL16" i="23"/>
  <c r="AM16" i="23" s="1"/>
  <c r="P12" i="23"/>
  <c r="AB12" i="23"/>
  <c r="M77" i="23"/>
  <c r="O76" i="23" s="1"/>
  <c r="AB27" i="23"/>
  <c r="P27" i="23"/>
  <c r="AB29" i="23"/>
  <c r="P29" i="23"/>
  <c r="E29" i="23" s="1"/>
  <c r="AB89" i="23"/>
  <c r="P89" i="23"/>
  <c r="AK16" i="22"/>
  <c r="AL16" i="22" s="1"/>
  <c r="J51" i="22"/>
  <c r="AA16" i="22"/>
  <c r="Z17" i="22"/>
  <c r="AA17" i="22" s="1"/>
  <c r="Z34" i="22"/>
  <c r="L80" i="22"/>
  <c r="L82" i="22" s="1"/>
  <c r="M51" i="22"/>
  <c r="AK22" i="22"/>
  <c r="AL22" i="22" s="1"/>
  <c r="E22" i="22"/>
  <c r="AA43" i="22"/>
  <c r="O43" i="22"/>
  <c r="E13" i="22"/>
  <c r="AK13" i="22"/>
  <c r="AL13" i="22" s="1"/>
  <c r="AA37" i="22"/>
  <c r="O37" i="22"/>
  <c r="O15" i="22"/>
  <c r="AA32" i="22"/>
  <c r="AA38" i="22"/>
  <c r="O38" i="22"/>
  <c r="AK14" i="22"/>
  <c r="AL14" i="22" s="1"/>
  <c r="E14" i="22"/>
  <c r="AA48" i="22"/>
  <c r="O48" i="22"/>
  <c r="O36" i="22"/>
  <c r="AA36" i="22"/>
  <c r="AA39" i="22"/>
  <c r="O39" i="22"/>
  <c r="O23" i="22"/>
  <c r="AA23" i="22"/>
  <c r="AA41" i="22"/>
  <c r="O41" i="22"/>
  <c r="AA44" i="22"/>
  <c r="O44" i="22"/>
  <c r="O31" i="22"/>
  <c r="E31" i="22" s="1"/>
  <c r="AA31" i="22"/>
  <c r="Z15" i="22"/>
  <c r="O29" i="22"/>
  <c r="AA29" i="22"/>
  <c r="AA26" i="22"/>
  <c r="O26" i="22"/>
  <c r="M82" i="22"/>
  <c r="M85" i="22" s="1"/>
  <c r="O30" i="22"/>
  <c r="E30" i="22" s="1"/>
  <c r="AA30" i="22"/>
  <c r="AA40" i="22"/>
  <c r="O40" i="22"/>
  <c r="AK20" i="22"/>
  <c r="AL20" i="22" s="1"/>
  <c r="E20" i="22"/>
  <c r="AK17" i="22"/>
  <c r="AL17" i="22" s="1"/>
  <c r="E17" i="22"/>
  <c r="H70" i="22"/>
  <c r="AK18" i="22"/>
  <c r="AL18" i="22" s="1"/>
  <c r="E18" i="22"/>
  <c r="K70" i="22"/>
  <c r="AA42" i="22"/>
  <c r="O42" i="22"/>
  <c r="I55" i="22"/>
  <c r="M55" i="22" s="1"/>
  <c r="AA47" i="22"/>
  <c r="O47" i="22"/>
  <c r="O27" i="22"/>
  <c r="AA27" i="22"/>
  <c r="AA12" i="22"/>
  <c r="AA24" i="22"/>
  <c r="O24" i="22"/>
  <c r="AK12" i="22"/>
  <c r="AL12" i="22" s="1"/>
  <c r="E12" i="22"/>
  <c r="AA21" i="22"/>
  <c r="O21" i="22"/>
  <c r="AK19" i="22"/>
  <c r="AL19" i="22" s="1"/>
  <c r="E19" i="22"/>
  <c r="O25" i="22"/>
  <c r="AA25" i="22"/>
  <c r="AA49" i="20"/>
  <c r="O49" i="20"/>
  <c r="AK15" i="20"/>
  <c r="AL15" i="20" s="1"/>
  <c r="E15" i="20"/>
  <c r="AK16" i="20"/>
  <c r="AL16" i="20" s="1"/>
  <c r="E16" i="20"/>
  <c r="L45" i="20"/>
  <c r="M45" i="20"/>
  <c r="O44" i="20"/>
  <c r="AA44" i="20"/>
  <c r="K70" i="20"/>
  <c r="K52" i="20"/>
  <c r="C66" i="20" s="1"/>
  <c r="AA48" i="20"/>
  <c r="O48" i="20"/>
  <c r="AK14" i="20"/>
  <c r="AL14" i="20" s="1"/>
  <c r="E14" i="20"/>
  <c r="Z33" i="20"/>
  <c r="L82" i="20" s="1"/>
  <c r="N81" i="20" s="1"/>
  <c r="Z34" i="20"/>
  <c r="H71" i="20"/>
  <c r="O37" i="20"/>
  <c r="Z12" i="20"/>
  <c r="AA12" i="20" s="1"/>
  <c r="Z13" i="20"/>
  <c r="AA13" i="20" s="1"/>
  <c r="K71" i="20"/>
  <c r="M83" i="20"/>
  <c r="M86" i="20" s="1"/>
  <c r="Z16" i="20"/>
  <c r="AA16" i="20" s="1"/>
  <c r="AA15" i="20"/>
  <c r="Z18" i="20"/>
  <c r="AA18" i="20" s="1"/>
  <c r="AA14" i="20"/>
  <c r="AA42" i="20"/>
  <c r="J52" i="20"/>
  <c r="Z17" i="20"/>
  <c r="AA17" i="20" s="1"/>
  <c r="AA31" i="20"/>
  <c r="AA43" i="20"/>
  <c r="O43" i="20"/>
  <c r="AA21" i="20"/>
  <c r="O21" i="20"/>
  <c r="E21" i="20" s="1"/>
  <c r="O27" i="20"/>
  <c r="AA27" i="20"/>
  <c r="O30" i="20"/>
  <c r="E30" i="20" s="1"/>
  <c r="AA30" i="20"/>
  <c r="AA25" i="20"/>
  <c r="O25" i="20"/>
  <c r="AA24" i="20"/>
  <c r="O24" i="20"/>
  <c r="AA32" i="20"/>
  <c r="O32" i="20"/>
  <c r="O33" i="20"/>
  <c r="AK19" i="20"/>
  <c r="AL19" i="20" s="1"/>
  <c r="AA23" i="20"/>
  <c r="O23" i="20"/>
  <c r="O41" i="20"/>
  <c r="AA41" i="20"/>
  <c r="AA26" i="20"/>
  <c r="O26" i="20"/>
  <c r="AA29" i="20"/>
  <c r="O29" i="20"/>
  <c r="E29" i="20" s="1"/>
  <c r="O36" i="20"/>
  <c r="AA36" i="20"/>
  <c r="M52" i="20"/>
  <c r="O40" i="20"/>
  <c r="AA40" i="20"/>
  <c r="O38" i="20"/>
  <c r="AA38" i="20"/>
  <c r="L81" i="20"/>
  <c r="O39" i="20"/>
  <c r="AA39" i="20"/>
  <c r="E42" i="23" l="1"/>
  <c r="E31" i="23"/>
  <c r="E41" i="23"/>
  <c r="E24" i="23"/>
  <c r="E27" i="23"/>
  <c r="E23" i="23"/>
  <c r="E25" i="23"/>
  <c r="E40" i="23"/>
  <c r="E12" i="23"/>
  <c r="E44" i="23"/>
  <c r="E43" i="23"/>
  <c r="E19" i="23"/>
  <c r="E38" i="23"/>
  <c r="J52" i="23"/>
  <c r="N52" i="23" s="1"/>
  <c r="N53" i="23" s="1"/>
  <c r="N54" i="23" s="1"/>
  <c r="C55" i="23"/>
  <c r="C57" i="23" s="1"/>
  <c r="C58" i="23"/>
  <c r="AB18" i="23"/>
  <c r="C76" i="23"/>
  <c r="I70" i="23"/>
  <c r="I69" i="23"/>
  <c r="AL12" i="23"/>
  <c r="AM12" i="23" s="1"/>
  <c r="AL24" i="23"/>
  <c r="AM24" i="23" s="1"/>
  <c r="M78" i="23"/>
  <c r="AL25" i="23"/>
  <c r="AM25" i="23" s="1"/>
  <c r="J64" i="23"/>
  <c r="AL29" i="23"/>
  <c r="AM29" i="23" s="1"/>
  <c r="I74" i="23"/>
  <c r="O77" i="23"/>
  <c r="AL26" i="23"/>
  <c r="AM26" i="23" s="1"/>
  <c r="C51" i="23"/>
  <c r="I68" i="23"/>
  <c r="M69" i="23"/>
  <c r="AL27" i="23"/>
  <c r="AM27" i="23" s="1"/>
  <c r="J55" i="23"/>
  <c r="AL19" i="23"/>
  <c r="AM19" i="23" s="1"/>
  <c r="AL18" i="23"/>
  <c r="AM18" i="23" s="1"/>
  <c r="AL23" i="23"/>
  <c r="AM23" i="23" s="1"/>
  <c r="N79" i="22"/>
  <c r="N81" i="22" s="1"/>
  <c r="O51" i="22"/>
  <c r="C64" i="22"/>
  <c r="I56" i="22"/>
  <c r="M56" i="22" s="1"/>
  <c r="M57" i="22" s="1"/>
  <c r="M58" i="22" s="1"/>
  <c r="AA51" i="22"/>
  <c r="Z51" i="22"/>
  <c r="L84" i="22"/>
  <c r="N83" i="22" s="1"/>
  <c r="AK23" i="22"/>
  <c r="AL23" i="22" s="1"/>
  <c r="E23" i="22"/>
  <c r="AK15" i="22"/>
  <c r="AL15" i="22" s="1"/>
  <c r="E15" i="22"/>
  <c r="I68" i="22"/>
  <c r="AK29" i="22"/>
  <c r="AL29" i="22" s="1"/>
  <c r="E29" i="22"/>
  <c r="H78" i="22"/>
  <c r="AA15" i="22"/>
  <c r="AK27" i="22"/>
  <c r="AL27" i="22" s="1"/>
  <c r="E27" i="22"/>
  <c r="H73" i="22"/>
  <c r="E26" i="22"/>
  <c r="AK26" i="22"/>
  <c r="AL26" i="22" s="1"/>
  <c r="C63" i="22"/>
  <c r="H72" i="22"/>
  <c r="L73" i="22"/>
  <c r="AK21" i="22"/>
  <c r="AL21" i="22" s="1"/>
  <c r="E21" i="22"/>
  <c r="AK25" i="22"/>
  <c r="AL25" i="22" s="1"/>
  <c r="E25" i="22"/>
  <c r="L76" i="22"/>
  <c r="H74" i="22"/>
  <c r="I59" i="22"/>
  <c r="AK24" i="22"/>
  <c r="AL24" i="22" s="1"/>
  <c r="E24" i="22"/>
  <c r="O45" i="20"/>
  <c r="AA45" i="20"/>
  <c r="AK27" i="20"/>
  <c r="AL27" i="20" s="1"/>
  <c r="E27" i="20"/>
  <c r="AK24" i="20"/>
  <c r="AL24" i="20" s="1"/>
  <c r="E24" i="20"/>
  <c r="AK26" i="20"/>
  <c r="AL26" i="20" s="1"/>
  <c r="E26" i="20"/>
  <c r="AK25" i="20"/>
  <c r="AL25" i="20" s="1"/>
  <c r="E25" i="20"/>
  <c r="AK23" i="20"/>
  <c r="AL23" i="20" s="1"/>
  <c r="E23" i="20"/>
  <c r="C65" i="20"/>
  <c r="I56" i="20"/>
  <c r="M56" i="20" s="1"/>
  <c r="O52" i="20"/>
  <c r="I57" i="20"/>
  <c r="Z52" i="20"/>
  <c r="H73" i="20"/>
  <c r="C64" i="20"/>
  <c r="L74" i="20"/>
  <c r="I69" i="20"/>
  <c r="AK29" i="20"/>
  <c r="AL29" i="20" s="1"/>
  <c r="I60" i="20"/>
  <c r="AK21" i="20"/>
  <c r="AL21" i="20" s="1"/>
  <c r="H74" i="20"/>
  <c r="L83" i="20"/>
  <c r="N80" i="20"/>
  <c r="N82" i="20" s="1"/>
  <c r="H75" i="20"/>
  <c r="L77" i="20"/>
  <c r="L85" i="20"/>
  <c r="N84" i="20" s="1"/>
  <c r="N85" i="20" s="1"/>
  <c r="H79" i="20"/>
  <c r="E18" i="23" l="1"/>
  <c r="C59" i="23"/>
  <c r="N55" i="23"/>
  <c r="N56" i="23" s="1"/>
  <c r="N57" i="23" s="1"/>
  <c r="N58" i="23" s="1"/>
  <c r="N59" i="23" s="1"/>
  <c r="N60" i="23" s="1"/>
  <c r="N61" i="23" s="1"/>
  <c r="N62" i="23" s="1"/>
  <c r="N63" i="23" s="1"/>
  <c r="N64" i="23" s="1"/>
  <c r="N65" i="23" s="1"/>
  <c r="I72" i="23"/>
  <c r="J66" i="23"/>
  <c r="M70" i="23" s="1"/>
  <c r="M73" i="23" s="1"/>
  <c r="N84" i="22"/>
  <c r="C67" i="22"/>
  <c r="C69" i="22" s="1"/>
  <c r="L85" i="22"/>
  <c r="M59" i="22"/>
  <c r="M60" i="22" s="1"/>
  <c r="M61" i="22" s="1"/>
  <c r="M62" i="22" s="1"/>
  <c r="M63" i="22" s="1"/>
  <c r="M64" i="22" s="1"/>
  <c r="M65" i="22" s="1"/>
  <c r="M66" i="22" s="1"/>
  <c r="M67" i="22" s="1"/>
  <c r="M68" i="22" s="1"/>
  <c r="M69" i="22" s="1"/>
  <c r="H76" i="22"/>
  <c r="I70" i="22"/>
  <c r="AA52" i="20"/>
  <c r="I71" i="20"/>
  <c r="M57" i="20"/>
  <c r="M58" i="20" s="1"/>
  <c r="M59" i="20" s="1"/>
  <c r="M60" i="20" s="1"/>
  <c r="M61" i="20" s="1"/>
  <c r="M62" i="20" s="1"/>
  <c r="M63" i="20" s="1"/>
  <c r="M64" i="20" s="1"/>
  <c r="M65" i="20" s="1"/>
  <c r="M66" i="20" s="1"/>
  <c r="M67" i="20" s="1"/>
  <c r="M68" i="20" s="1"/>
  <c r="M69" i="20" s="1"/>
  <c r="M70" i="20" s="1"/>
  <c r="C68" i="20"/>
  <c r="C70" i="20" s="1"/>
  <c r="H77" i="20"/>
  <c r="L86" i="20"/>
  <c r="N66" i="23" l="1"/>
  <c r="L74" i="22"/>
  <c r="L77" i="22" s="1"/>
  <c r="M70" i="22"/>
  <c r="L75" i="20"/>
  <c r="L78" i="20" s="1"/>
  <c r="M71" i="20"/>
  <c r="AC47" i="23"/>
  <c r="C52" i="23" s="1"/>
  <c r="C53" i="23" s="1"/>
  <c r="C60" i="23" s="1"/>
  <c r="AB47" i="23"/>
  <c r="M80" i="23"/>
  <c r="O79" i="23" s="1"/>
  <c r="O80" i="23" s="1"/>
  <c r="E47" i="23"/>
  <c r="P47" i="23"/>
  <c r="AA47" i="23"/>
  <c r="N80" i="23"/>
  <c r="N81" i="23" s="1"/>
  <c r="L47" i="23"/>
  <c r="K47" i="23"/>
  <c r="N47" i="23"/>
  <c r="F47" i="23"/>
  <c r="O47" i="23"/>
  <c r="M81" i="23" l="1"/>
  <c r="C67" i="24" l="1"/>
  <c r="C69" i="24" s="1"/>
  <c r="C70" i="24" s="1"/>
  <c r="D60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52" authorId="0" shapeId="0" xr:uid="{EE82DF76-4E7E-4CDD-B78B-4C43557E98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Belum disetor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6E32B1DF-90F6-4402-AB20-071837B2C3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9AF672F5-06CE-4B1D-8279-8C561CA283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A27D8A29-A89B-44E3-9631-F032381EC7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1" authorId="0" shapeId="0" xr:uid="{F4EA3F51-34DE-43FF-9651-BF1276930B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Asumsi sudah dibayar
</t>
        </r>
      </text>
    </comment>
  </commentList>
</comments>
</file>

<file path=xl/sharedStrings.xml><?xml version="1.0" encoding="utf-8"?>
<sst xmlns="http://schemas.openxmlformats.org/spreadsheetml/2006/main" count="2312" uniqueCount="212">
  <si>
    <t>No</t>
  </si>
  <si>
    <t xml:space="preserve">No. PO </t>
  </si>
  <si>
    <t>Item</t>
  </si>
  <si>
    <t>Top Frame 800</t>
  </si>
  <si>
    <t>Qty</t>
  </si>
  <si>
    <t>Total</t>
  </si>
  <si>
    <t>Harga</t>
  </si>
  <si>
    <t>Modal</t>
  </si>
  <si>
    <t>Margin</t>
  </si>
  <si>
    <t>DO</t>
  </si>
  <si>
    <t>Periode PO</t>
  </si>
  <si>
    <t>145/RJ-FI/07/2025</t>
  </si>
  <si>
    <t>Invoice</t>
  </si>
  <si>
    <t>Due Dated</t>
  </si>
  <si>
    <t>Tanggal</t>
  </si>
  <si>
    <t>146/RJ-FI/07/2025</t>
  </si>
  <si>
    <t>147/RJ-FI/07/2025</t>
  </si>
  <si>
    <t>Modal Awal</t>
  </si>
  <si>
    <t>Margin Outstanding</t>
  </si>
  <si>
    <t>Add Margin</t>
  </si>
  <si>
    <t>Jul</t>
  </si>
  <si>
    <t>Aug</t>
  </si>
  <si>
    <t>Date</t>
  </si>
  <si>
    <t xml:space="preserve">Invoice /DO </t>
  </si>
  <si>
    <t>Sep</t>
  </si>
  <si>
    <t>Oct</t>
  </si>
  <si>
    <t>Nov</t>
  </si>
  <si>
    <t>Dec</t>
  </si>
  <si>
    <t>Margin Per Unit</t>
  </si>
  <si>
    <t>Total PO</t>
  </si>
  <si>
    <t>Dana Tersedia</t>
  </si>
  <si>
    <t>AR MARGIN</t>
  </si>
  <si>
    <t>TGL</t>
  </si>
  <si>
    <t>LIST INVESTASI</t>
  </si>
  <si>
    <t>DO
Outstanding</t>
  </si>
  <si>
    <t>Penarikan Margin</t>
  </si>
  <si>
    <t>A</t>
  </si>
  <si>
    <t>B</t>
  </si>
  <si>
    <t>C</t>
  </si>
  <si>
    <t>D</t>
  </si>
  <si>
    <t>E</t>
  </si>
  <si>
    <t>F=A+B+C-D-E</t>
  </si>
  <si>
    <t>Modal PO Baru</t>
  </si>
  <si>
    <t>151-154/RJ-FI/08/2025</t>
  </si>
  <si>
    <t>DVAR 3771-B0-20D-PPC Statcom Steel Support</t>
  </si>
  <si>
    <t>Top Frame 800</t>
  </si>
  <si>
    <t>Modal Setor Awal</t>
  </si>
  <si>
    <t>Setor Modal Awal</t>
  </si>
  <si>
    <t>PO Baru</t>
  </si>
  <si>
    <t>Leser Barrier MK 02-F3004973</t>
  </si>
  <si>
    <t>Leser Barrier MK 01-F3004973</t>
  </si>
  <si>
    <t>TOTAL MARGIN</t>
  </si>
  <si>
    <t>DO 
Total</t>
  </si>
  <si>
    <t>Invoice date</t>
  </si>
  <si>
    <t>Del Time</t>
  </si>
  <si>
    <t>Nama Barang</t>
  </si>
  <si>
    <t>Tangki</t>
  </si>
  <si>
    <t>Add Margin (by Agreement)</t>
  </si>
  <si>
    <t>Margin was arranged 25mil/ea</t>
  </si>
  <si>
    <t>Harga Beli 
(only added if Margin is set)</t>
  </si>
  <si>
    <t>Tanki</t>
  </si>
  <si>
    <t>Top Frame 2630</t>
  </si>
  <si>
    <t>Status</t>
  </si>
  <si>
    <t>Close</t>
  </si>
  <si>
    <t>Pipe Spool</t>
  </si>
  <si>
    <t>Open</t>
  </si>
  <si>
    <t>Notes</t>
  </si>
  <si>
    <t xml:space="preserve">Total Margin </t>
  </si>
  <si>
    <t>5200778328 </t>
  </si>
  <si>
    <t>Delivered</t>
  </si>
  <si>
    <t>Partial Delivery</t>
  </si>
  <si>
    <t>Pencairan Modal</t>
  </si>
  <si>
    <t>Total Margin</t>
  </si>
  <si>
    <t>Total Margin Awal</t>
  </si>
  <si>
    <t>Margin PO 3,8</t>
  </si>
  <si>
    <t>Margin Yosi</t>
  </si>
  <si>
    <t xml:space="preserve">Total Margin  </t>
  </si>
  <si>
    <t>Margin Blm cair</t>
  </si>
  <si>
    <t>NO</t>
  </si>
  <si>
    <t>DO Dated</t>
  </si>
  <si>
    <t>Initial Payment Date</t>
  </si>
  <si>
    <t>Tgl</t>
  </si>
  <si>
    <t>adjusting TOP 
 60 Days</t>
  </si>
  <si>
    <t xml:space="preserve">Setor Modal </t>
  </si>
  <si>
    <t>Modal Yosi Ditempatkan</t>
  </si>
  <si>
    <t>Modal dtarik</t>
  </si>
  <si>
    <t>C=A+B</t>
  </si>
  <si>
    <t>E=C-D</t>
  </si>
  <si>
    <t>Drain hole</t>
  </si>
  <si>
    <t>REKAP INVESTASI</t>
  </si>
  <si>
    <t>No. Po</t>
  </si>
  <si>
    <t>Description</t>
  </si>
  <si>
    <t>Nilai</t>
  </si>
  <si>
    <t>Investasi</t>
  </si>
  <si>
    <t>Profit Investasi</t>
  </si>
  <si>
    <t>% Profit</t>
  </si>
  <si>
    <t>Tambahan Profit</t>
  </si>
  <si>
    <t>DMLZ Top frame Grizzly 800 SQ</t>
  </si>
  <si>
    <t>GBC _AMS Laser Barrier RH / LH</t>
  </si>
  <si>
    <t>Metal Fabricated IBC Tank Double Wall 1000L</t>
  </si>
  <si>
    <t>DMLZ Top Frame Grizly 800 SQ x 2630 Square</t>
  </si>
  <si>
    <t>Modify Under Froth Wash Water CUCL</t>
  </si>
  <si>
    <t>PPC Statcom and Xfmr Steel Support</t>
  </si>
  <si>
    <t>TOTAL</t>
  </si>
  <si>
    <t>DMLZ Top Frame Grizzly 800 Opening x 2630 Square</t>
  </si>
  <si>
    <t>DMLZ Top Frame Grizzly Opening 800 SQ</t>
  </si>
  <si>
    <t>Top Frame Grizzly 800 Opening x 2630 Square</t>
  </si>
  <si>
    <t>SUDAH TERBAYAR</t>
  </si>
  <si>
    <t>BELUM TERBAYAR</t>
  </si>
  <si>
    <t>Tari</t>
  </si>
  <si>
    <t>Selisih</t>
  </si>
  <si>
    <t>Margin Selisih</t>
  </si>
  <si>
    <t>Tidak aada di PO Tari</t>
  </si>
  <si>
    <t>Selisih margin</t>
  </si>
  <si>
    <t>Trench Grade</t>
  </si>
  <si>
    <t>Grating Ditch</t>
  </si>
  <si>
    <t>PO</t>
  </si>
  <si>
    <t>MODAL</t>
  </si>
  <si>
    <t>MARGIN</t>
  </si>
  <si>
    <t>NAMA</t>
  </si>
  <si>
    <t>Pak M</t>
  </si>
  <si>
    <t>Row Labels</t>
  </si>
  <si>
    <t>Grand Total</t>
  </si>
  <si>
    <t>Column Labels</t>
  </si>
  <si>
    <t>Sum of MARGIN</t>
  </si>
  <si>
    <t>Total PO Margin Belum terbayar</t>
  </si>
  <si>
    <t>PAK M</t>
  </si>
  <si>
    <t>Total Margin TARI</t>
  </si>
  <si>
    <t xml:space="preserve">Selisih di unit Qty, di catatan pak mushafa 2 unit(1 sudah terbayar , 1 unit belum terbayar ), dicatatan TARI 1 Unit </t>
  </si>
  <si>
    <t>TARI</t>
  </si>
  <si>
    <t>TARI2</t>
  </si>
  <si>
    <t>Total PO Modal Belum terbayar</t>
  </si>
  <si>
    <t>520098xxxxx</t>
  </si>
  <si>
    <t xml:space="preserve">Penarikan </t>
  </si>
  <si>
    <t>Dana Saat Ini</t>
  </si>
  <si>
    <t>Asumsi PO Cair</t>
  </si>
  <si>
    <t>Total dana</t>
  </si>
  <si>
    <t>Pak Yos</t>
  </si>
  <si>
    <t>Sisa</t>
  </si>
  <si>
    <t>* Belum termasuk modal PO baru</t>
  </si>
  <si>
    <t>Saldo</t>
  </si>
  <si>
    <t xml:space="preserve">Pak Yos </t>
  </si>
  <si>
    <t>Kekurangan</t>
  </si>
  <si>
    <t>Pak Y Inves baru</t>
  </si>
  <si>
    <t>Modal PO baru</t>
  </si>
  <si>
    <t>Dana Tersedia/Kurang</t>
  </si>
  <si>
    <t>Baris 18-29</t>
  </si>
  <si>
    <t>PO &amp; margin akan cair</t>
  </si>
  <si>
    <t>Asumsi</t>
  </si>
  <si>
    <t>Setor Modal</t>
  </si>
  <si>
    <t xml:space="preserve">Sisa </t>
  </si>
  <si>
    <t xml:space="preserve">Kurang </t>
  </si>
  <si>
    <t>52009915xx</t>
  </si>
  <si>
    <t>new barge landing facility</t>
  </si>
  <si>
    <t>520099xxxx</t>
  </si>
  <si>
    <t>Jumlah</t>
  </si>
  <si>
    <t>KL Pipe Bracket</t>
  </si>
  <si>
    <t>Margin yang akan diterima</t>
  </si>
  <si>
    <t>Jan</t>
  </si>
  <si>
    <t>adjusting TOP 
30 Days</t>
  </si>
  <si>
    <t>Belum Di invoice 50, 50 unit penfgiriman</t>
  </si>
  <si>
    <t>55  ea Terkirim</t>
  </si>
  <si>
    <t>Blm Invoice</t>
  </si>
  <si>
    <t xml:space="preserve">Belum Terkirim </t>
  </si>
  <si>
    <t>Total Margin Yg Akan diterim</t>
  </si>
  <si>
    <t>Modal yang akan diterima</t>
  </si>
  <si>
    <t>Bulan</t>
  </si>
  <si>
    <t>Dana tersedia</t>
  </si>
  <si>
    <t>Payment 12 Jan 2026</t>
  </si>
  <si>
    <t>Payment Date</t>
  </si>
  <si>
    <t>110  ea Terkirim</t>
  </si>
  <si>
    <t>Blm Terkirim</t>
  </si>
  <si>
    <t xml:space="preserve">penarikan </t>
  </si>
  <si>
    <t>dana tersedia</t>
  </si>
  <si>
    <t>Total Investasi</t>
  </si>
  <si>
    <t>Margin diterima (Close)</t>
  </si>
  <si>
    <t>Total Modal PO</t>
  </si>
  <si>
    <t>Modal Kembali PO (close)</t>
  </si>
  <si>
    <t>Status FI Aging 43 Days</t>
  </si>
  <si>
    <t>Status FI Aging 22 Days</t>
  </si>
  <si>
    <t>Status FI Aging 28 Days</t>
  </si>
  <si>
    <t>Status FI Aging 37 Days</t>
  </si>
  <si>
    <t>adjusting TOP 
60 Days</t>
  </si>
  <si>
    <t xml:space="preserve">Terkirim </t>
  </si>
  <si>
    <t>Status FI Aging 50 Days</t>
  </si>
  <si>
    <t>Status FI Aging 29 Days</t>
  </si>
  <si>
    <t>Status FI Aging 35 Days</t>
  </si>
  <si>
    <t>Status FI Aging 44 Days</t>
  </si>
  <si>
    <t>Marine Maintenance Jetty</t>
  </si>
  <si>
    <t>Partial Deliv 55 ea</t>
  </si>
  <si>
    <t>Total Payment</t>
  </si>
  <si>
    <t>Total Tf  Investasi</t>
  </si>
  <si>
    <t xml:space="preserve"> Muck Bumper</t>
  </si>
  <si>
    <t>Muck Bumper</t>
  </si>
  <si>
    <t>Setoran Investasi</t>
  </si>
  <si>
    <t>Modal Ditahan</t>
  </si>
  <si>
    <t>Investasi yang dikembalikan</t>
  </si>
  <si>
    <t>MODAL DITAHAN</t>
  </si>
  <si>
    <t>Margin ditahan</t>
  </si>
  <si>
    <t>Investasi yang ditahan</t>
  </si>
  <si>
    <t>Total Investasi transfer</t>
  </si>
  <si>
    <t>Margin Diterima</t>
  </si>
  <si>
    <t>Margin Ditahan</t>
  </si>
  <si>
    <t>Margin Tersedia</t>
  </si>
  <si>
    <t>ada kenaikan harga material</t>
  </si>
  <si>
    <t>Modal Di terima</t>
  </si>
  <si>
    <t>Belum ada di hitungan pak M</t>
  </si>
  <si>
    <t>Total dana Transfer</t>
  </si>
  <si>
    <t>52010xxxx1</t>
  </si>
  <si>
    <t>52010xxxx2</t>
  </si>
  <si>
    <t>52010xxxx3</t>
  </si>
  <si>
    <t>Grizzly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</si>
</sst>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-&quot;Rp&quot;* #,##0_-;\-&quot;Rp&quot;* #,##0_-;_-&quot;Rp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62">
    <xf numFmtId="0" fontId="0" fillId="0" borderId="0" xfId="0"/>
    <xf numFmtId="164" fontId="0" fillId="0" borderId="0" xfId="1" applyFont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0" fillId="0" borderId="1" xfId="0" applyBorder="1"/>
    <xf numFmtId="17" fontId="0" fillId="0" borderId="1" xfId="0" applyNumberFormat="1" applyBorder="1"/>
    <xf numFmtId="164" fontId="0" fillId="0" borderId="1" xfId="1" applyFont="1" applyBorder="1"/>
    <xf numFmtId="164" fontId="0" fillId="0" borderId="1" xfId="0" applyNumberFormat="1" applyBorder="1"/>
    <xf numFmtId="164" fontId="2" fillId="0" borderId="1" xfId="0" applyNumberFormat="1" applyFont="1" applyBorder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/>
    <xf numFmtId="15" fontId="0" fillId="0" borderId="0" xfId="0" applyNumberFormat="1"/>
    <xf numFmtId="15" fontId="0" fillId="0" borderId="1" xfId="0" applyNumberFormat="1" applyBorder="1"/>
    <xf numFmtId="164" fontId="0" fillId="0" borderId="0" xfId="1" applyFont="1" applyBorder="1"/>
    <xf numFmtId="0" fontId="0" fillId="0" borderId="5" xfId="0" applyBorder="1"/>
    <xf numFmtId="164" fontId="2" fillId="0" borderId="5" xfId="0" applyNumberFormat="1" applyFont="1" applyBorder="1"/>
    <xf numFmtId="0" fontId="0" fillId="3" borderId="1" xfId="0" applyFill="1" applyBorder="1"/>
    <xf numFmtId="15" fontId="0" fillId="3" borderId="1" xfId="0" applyNumberFormat="1" applyFill="1" applyBorder="1"/>
    <xf numFmtId="164" fontId="0" fillId="3" borderId="1" xfId="1" applyFont="1" applyFill="1" applyBorder="1"/>
    <xf numFmtId="164" fontId="0" fillId="3" borderId="1" xfId="0" applyNumberFormat="1" applyFill="1" applyBorder="1"/>
    <xf numFmtId="164" fontId="2" fillId="0" borderId="0" xfId="0" applyNumberFormat="1" applyFont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" fontId="0" fillId="0" borderId="1" xfId="0" applyNumberFormat="1" applyBorder="1"/>
    <xf numFmtId="1" fontId="2" fillId="0" borderId="0" xfId="0" applyNumberFormat="1" applyFont="1"/>
    <xf numFmtId="1" fontId="0" fillId="0" borderId="0" xfId="0" applyNumberFormat="1"/>
    <xf numFmtId="1" fontId="0" fillId="3" borderId="1" xfId="0" applyNumberFormat="1" applyFill="1" applyBorder="1"/>
    <xf numFmtId="1" fontId="0" fillId="0" borderId="1" xfId="0" applyNumberFormat="1" applyBorder="1"/>
    <xf numFmtId="1" fontId="2" fillId="0" borderId="4" xfId="0" applyNumberFormat="1" applyFont="1" applyBorder="1"/>
    <xf numFmtId="0" fontId="0" fillId="6" borderId="0" xfId="0" applyFill="1" applyAlignment="1">
      <alignment horizontal="center" vertical="center"/>
    </xf>
    <xf numFmtId="1" fontId="0" fillId="7" borderId="1" xfId="0" applyNumberFormat="1" applyFill="1" applyBorder="1"/>
    <xf numFmtId="15" fontId="0" fillId="7" borderId="1" xfId="0" applyNumberFormat="1" applyFill="1" applyBorder="1"/>
    <xf numFmtId="0" fontId="0" fillId="7" borderId="1" xfId="0" applyFill="1" applyBorder="1"/>
    <xf numFmtId="164" fontId="0" fillId="7" borderId="1" xfId="1" applyFont="1" applyFill="1" applyBorder="1"/>
    <xf numFmtId="164" fontId="0" fillId="7" borderId="1" xfId="0" applyNumberFormat="1" applyFill="1" applyBorder="1"/>
    <xf numFmtId="16" fontId="0" fillId="7" borderId="1" xfId="0" applyNumberFormat="1" applyFill="1" applyBorder="1"/>
    <xf numFmtId="0" fontId="0" fillId="7" borderId="0" xfId="0" applyFill="1"/>
    <xf numFmtId="16" fontId="4" fillId="7" borderId="1" xfId="0" applyNumberFormat="1" applyFont="1" applyFill="1" applyBorder="1"/>
    <xf numFmtId="16" fontId="0" fillId="3" borderId="1" xfId="0" applyNumberFormat="1" applyFill="1" applyBorder="1"/>
    <xf numFmtId="1" fontId="0" fillId="8" borderId="1" xfId="0" applyNumberFormat="1" applyFill="1" applyBorder="1"/>
    <xf numFmtId="1" fontId="2" fillId="0" borderId="1" xfId="0" applyNumberFormat="1" applyFont="1" applyBorder="1"/>
    <xf numFmtId="1" fontId="2" fillId="9" borderId="1" xfId="0" applyNumberFormat="1" applyFont="1" applyFill="1" applyBorder="1"/>
    <xf numFmtId="1" fontId="2" fillId="10" borderId="1" xfId="0" applyNumberFormat="1" applyFont="1" applyFill="1" applyBorder="1"/>
    <xf numFmtId="1" fontId="5" fillId="0" borderId="0" xfId="0" applyNumberFormat="1" applyFont="1"/>
    <xf numFmtId="164" fontId="2" fillId="0" borderId="0" xfId="1" applyFont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2" borderId="1" xfId="1" applyFont="1" applyFill="1" applyBorder="1"/>
    <xf numFmtId="14" fontId="0" fillId="0" borderId="1" xfId="0" applyNumberFormat="1" applyBorder="1"/>
    <xf numFmtId="0" fontId="0" fillId="9" borderId="1" xfId="0" applyFill="1" applyBorder="1"/>
    <xf numFmtId="17" fontId="0" fillId="9" borderId="1" xfId="0" applyNumberFormat="1" applyFill="1" applyBorder="1"/>
    <xf numFmtId="164" fontId="0" fillId="9" borderId="1" xfId="1" applyFont="1" applyFill="1" applyBorder="1"/>
    <xf numFmtId="164" fontId="0" fillId="9" borderId="1" xfId="0" applyNumberFormat="1" applyFill="1" applyBorder="1"/>
    <xf numFmtId="14" fontId="0" fillId="9" borderId="1" xfId="0" applyNumberFormat="1" applyFill="1" applyBorder="1"/>
    <xf numFmtId="16" fontId="0" fillId="9" borderId="1" xfId="0" applyNumberFormat="1" applyFill="1" applyBorder="1"/>
    <xf numFmtId="0" fontId="0" fillId="9" borderId="0" xfId="0" applyFill="1"/>
    <xf numFmtId="15" fontId="0" fillId="9" borderId="1" xfId="0" applyNumberFormat="1" applyFill="1" applyBorder="1"/>
    <xf numFmtId="0" fontId="0" fillId="10" borderId="1" xfId="0" applyFill="1" applyBorder="1"/>
    <xf numFmtId="15" fontId="0" fillId="10" borderId="1" xfId="0" applyNumberFormat="1" applyFill="1" applyBorder="1"/>
    <xf numFmtId="164" fontId="0" fillId="10" borderId="1" xfId="1" applyFont="1" applyFill="1" applyBorder="1"/>
    <xf numFmtId="164" fontId="0" fillId="10" borderId="1" xfId="0" applyNumberFormat="1" applyFill="1" applyBorder="1"/>
    <xf numFmtId="16" fontId="0" fillId="10" borderId="1" xfId="0" applyNumberFormat="1" applyFill="1" applyBorder="1"/>
    <xf numFmtId="14" fontId="0" fillId="10" borderId="1" xfId="0" applyNumberFormat="1" applyFill="1" applyBorder="1"/>
    <xf numFmtId="0" fontId="0" fillId="10" borderId="0" xfId="0" applyFill="1"/>
    <xf numFmtId="16" fontId="4" fillId="10" borderId="1" xfId="0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" fontId="0" fillId="0" borderId="9" xfId="0" applyNumberFormat="1" applyBorder="1"/>
    <xf numFmtId="164" fontId="0" fillId="0" borderId="10" xfId="0" applyNumberFormat="1" applyBorder="1"/>
    <xf numFmtId="0" fontId="2" fillId="0" borderId="11" xfId="0" applyFont="1" applyBorder="1"/>
    <xf numFmtId="164" fontId="2" fillId="0" borderId="12" xfId="0" applyNumberFormat="1" applyFont="1" applyBorder="1"/>
    <xf numFmtId="164" fontId="2" fillId="0" borderId="13" xfId="0" applyNumberFormat="1" applyFont="1" applyBorder="1"/>
    <xf numFmtId="164" fontId="2" fillId="0" borderId="1" xfId="1" applyFont="1" applyBorder="1"/>
    <xf numFmtId="164" fontId="0" fillId="0" borderId="1" xfId="1" applyFont="1" applyFill="1" applyBorder="1"/>
    <xf numFmtId="164" fontId="0" fillId="0" borderId="0" xfId="1" applyFont="1" applyFill="1" applyBorder="1"/>
    <xf numFmtId="0" fontId="2" fillId="0" borderId="0" xfId="0" applyFont="1"/>
    <xf numFmtId="0" fontId="0" fillId="0" borderId="14" xfId="0" applyBorder="1"/>
    <xf numFmtId="164" fontId="0" fillId="0" borderId="0" xfId="1" applyFont="1" applyFill="1"/>
    <xf numFmtId="164" fontId="0" fillId="0" borderId="14" xfId="0" applyNumberFormat="1" applyBorder="1"/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/>
    </xf>
    <xf numFmtId="0" fontId="0" fillId="0" borderId="19" xfId="0" applyBorder="1"/>
    <xf numFmtId="0" fontId="8" fillId="0" borderId="20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0" fillId="0" borderId="21" xfId="0" applyBorder="1"/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165" fontId="8" fillId="0" borderId="17" xfId="0" applyNumberFormat="1" applyFont="1" applyBorder="1"/>
    <xf numFmtId="165" fontId="7" fillId="0" borderId="0" xfId="0" applyNumberFormat="1" applyFont="1" applyAlignment="1">
      <alignment horizontal="center" vertical="center"/>
    </xf>
    <xf numFmtId="165" fontId="8" fillId="0" borderId="0" xfId="0" applyNumberFormat="1" applyFont="1"/>
    <xf numFmtId="0" fontId="8" fillId="11" borderId="1" xfId="0" applyFont="1" applyFill="1" applyBorder="1" applyAlignment="1">
      <alignment horizontal="center"/>
    </xf>
    <xf numFmtId="165" fontId="8" fillId="0" borderId="21" xfId="0" applyNumberFormat="1" applyFont="1" applyBorder="1"/>
    <xf numFmtId="0" fontId="8" fillId="11" borderId="23" xfId="0" applyFont="1" applyFill="1" applyBorder="1" applyAlignment="1">
      <alignment horizontal="center"/>
    </xf>
    <xf numFmtId="165" fontId="8" fillId="0" borderId="24" xfId="0" applyNumberFormat="1" applyFont="1" applyBorder="1"/>
    <xf numFmtId="165" fontId="7" fillId="0" borderId="16" xfId="0" applyNumberFormat="1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165" fontId="7" fillId="0" borderId="17" xfId="0" applyNumberFormat="1" applyFont="1" applyBorder="1" applyAlignment="1">
      <alignment vertical="center"/>
    </xf>
    <xf numFmtId="0" fontId="8" fillId="0" borderId="0" xfId="0" applyFont="1" applyAlignment="1">
      <alignment horizontal="center"/>
    </xf>
    <xf numFmtId="0" fontId="2" fillId="2" borderId="26" xfId="0" applyFont="1" applyFill="1" applyBorder="1"/>
    <xf numFmtId="0" fontId="7" fillId="0" borderId="28" xfId="0" applyFont="1" applyBorder="1" applyAlignment="1">
      <alignment horizontal="center"/>
    </xf>
    <xf numFmtId="165" fontId="0" fillId="0" borderId="0" xfId="0" applyNumberFormat="1"/>
    <xf numFmtId="0" fontId="2" fillId="11" borderId="22" xfId="0" applyFont="1" applyFill="1" applyBorder="1"/>
    <xf numFmtId="0" fontId="7" fillId="0" borderId="29" xfId="0" applyFont="1" applyBorder="1" applyAlignment="1">
      <alignment horizontal="center"/>
    </xf>
    <xf numFmtId="1" fontId="0" fillId="12" borderId="1" xfId="0" applyNumberFormat="1" applyFill="1" applyBorder="1"/>
    <xf numFmtId="15" fontId="0" fillId="12" borderId="1" xfId="0" applyNumberFormat="1" applyFill="1" applyBorder="1"/>
    <xf numFmtId="0" fontId="0" fillId="12" borderId="1" xfId="0" applyFill="1" applyBorder="1"/>
    <xf numFmtId="164" fontId="0" fillId="12" borderId="1" xfId="1" applyFont="1" applyFill="1" applyBorder="1"/>
    <xf numFmtId="164" fontId="0" fillId="12" borderId="1" xfId="0" applyNumberFormat="1" applyFill="1" applyBorder="1"/>
    <xf numFmtId="16" fontId="0" fillId="12" borderId="1" xfId="0" applyNumberFormat="1" applyFill="1" applyBorder="1"/>
    <xf numFmtId="0" fontId="0" fillId="12" borderId="0" xfId="0" applyFill="1"/>
    <xf numFmtId="164" fontId="0" fillId="12" borderId="0" xfId="1" applyFont="1" applyFill="1"/>
    <xf numFmtId="164" fontId="0" fillId="12" borderId="0" xfId="0" applyNumberFormat="1" applyFill="1"/>
    <xf numFmtId="16" fontId="4" fillId="12" borderId="1" xfId="0" applyNumberFormat="1" applyFont="1" applyFill="1" applyBorder="1"/>
    <xf numFmtId="1" fontId="0" fillId="13" borderId="1" xfId="0" applyNumberFormat="1" applyFill="1" applyBorder="1"/>
    <xf numFmtId="15" fontId="0" fillId="13" borderId="1" xfId="0" applyNumberFormat="1" applyFill="1" applyBorder="1"/>
    <xf numFmtId="0" fontId="0" fillId="13" borderId="0" xfId="0" applyFill="1"/>
    <xf numFmtId="164" fontId="0" fillId="13" borderId="1" xfId="1" applyFont="1" applyFill="1" applyBorder="1"/>
    <xf numFmtId="164" fontId="0" fillId="13" borderId="1" xfId="0" applyNumberFormat="1" applyFill="1" applyBorder="1"/>
    <xf numFmtId="0" fontId="0" fillId="13" borderId="1" xfId="0" applyFill="1" applyBorder="1"/>
    <xf numFmtId="16" fontId="0" fillId="13" borderId="1" xfId="0" applyNumberFormat="1" applyFill="1" applyBorder="1"/>
    <xf numFmtId="16" fontId="4" fillId="13" borderId="1" xfId="0" applyNumberFormat="1" applyFont="1" applyFill="1" applyBorder="1"/>
    <xf numFmtId="164" fontId="0" fillId="13" borderId="0" xfId="1" applyFont="1" applyFill="1"/>
    <xf numFmtId="164" fontId="0" fillId="13" borderId="0" xfId="0" applyNumberFormat="1" applyFill="1"/>
    <xf numFmtId="0" fontId="8" fillId="14" borderId="26" xfId="0" applyFont="1" applyFill="1" applyBorder="1" applyAlignment="1">
      <alignment horizontal="center"/>
    </xf>
    <xf numFmtId="0" fontId="8" fillId="14" borderId="27" xfId="0" applyFont="1" applyFill="1" applyBorder="1" applyAlignment="1">
      <alignment horizontal="center"/>
    </xf>
    <xf numFmtId="165" fontId="8" fillId="14" borderId="27" xfId="0" applyNumberFormat="1" applyFont="1" applyFill="1" applyBorder="1" applyAlignment="1">
      <alignment horizontal="center"/>
    </xf>
    <xf numFmtId="0" fontId="0" fillId="14" borderId="28" xfId="0" applyFill="1" applyBorder="1"/>
    <xf numFmtId="0" fontId="8" fillId="14" borderId="22" xfId="0" applyFont="1" applyFill="1" applyBorder="1" applyAlignment="1">
      <alignment horizontal="center"/>
    </xf>
    <xf numFmtId="0" fontId="8" fillId="14" borderId="23" xfId="0" applyFont="1" applyFill="1" applyBorder="1" applyAlignment="1">
      <alignment horizontal="center"/>
    </xf>
    <xf numFmtId="165" fontId="8" fillId="14" borderId="2" xfId="0" applyNumberFormat="1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0" fillId="14" borderId="24" xfId="0" applyFill="1" applyBorder="1"/>
    <xf numFmtId="1" fontId="0" fillId="14" borderId="1" xfId="0" applyNumberFormat="1" applyFill="1" applyBorder="1"/>
    <xf numFmtId="15" fontId="0" fillId="14" borderId="1" xfId="0" applyNumberFormat="1" applyFill="1" applyBorder="1"/>
    <xf numFmtId="0" fontId="0" fillId="14" borderId="1" xfId="0" applyFill="1" applyBorder="1"/>
    <xf numFmtId="164" fontId="0" fillId="14" borderId="1" xfId="1" applyFont="1" applyFill="1" applyBorder="1"/>
    <xf numFmtId="164" fontId="0" fillId="14" borderId="1" xfId="0" applyNumberFormat="1" applyFill="1" applyBorder="1"/>
    <xf numFmtId="16" fontId="4" fillId="14" borderId="1" xfId="0" applyNumberFormat="1" applyFont="1" applyFill="1" applyBorder="1"/>
    <xf numFmtId="16" fontId="0" fillId="14" borderId="1" xfId="0" applyNumberFormat="1" applyFill="1" applyBorder="1"/>
    <xf numFmtId="0" fontId="0" fillId="14" borderId="0" xfId="0" applyFill="1"/>
    <xf numFmtId="164" fontId="0" fillId="14" borderId="0" xfId="1" applyFont="1" applyFill="1"/>
    <xf numFmtId="164" fontId="0" fillId="14" borderId="0" xfId="0" applyNumberFormat="1" applyFill="1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2" fillId="9" borderId="0" xfId="1" applyFont="1" applyFill="1"/>
    <xf numFmtId="1" fontId="0" fillId="0" borderId="1" xfId="0" quotePrefix="1" applyNumberFormat="1" applyBorder="1" applyAlignment="1">
      <alignment horizontal="right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9" fillId="0" borderId="0" xfId="0" applyFont="1"/>
    <xf numFmtId="0" fontId="10" fillId="0" borderId="0" xfId="0" applyFont="1"/>
    <xf numFmtId="164" fontId="10" fillId="0" borderId="0" xfId="0" applyNumberFormat="1" applyFont="1"/>
    <xf numFmtId="1" fontId="0" fillId="11" borderId="1" xfId="0" applyNumberFormat="1" applyFill="1" applyBorder="1"/>
    <xf numFmtId="15" fontId="0" fillId="11" borderId="1" xfId="0" applyNumberFormat="1" applyFill="1" applyBorder="1"/>
    <xf numFmtId="0" fontId="0" fillId="11" borderId="1" xfId="0" applyFill="1" applyBorder="1"/>
    <xf numFmtId="164" fontId="0" fillId="11" borderId="1" xfId="1" applyFont="1" applyFill="1" applyBorder="1"/>
    <xf numFmtId="164" fontId="0" fillId="11" borderId="1" xfId="0" applyNumberFormat="1" applyFill="1" applyBorder="1"/>
    <xf numFmtId="16" fontId="4" fillId="11" borderId="1" xfId="0" applyNumberFormat="1" applyFont="1" applyFill="1" applyBorder="1"/>
    <xf numFmtId="16" fontId="0" fillId="11" borderId="1" xfId="0" applyNumberFormat="1" applyFill="1" applyBorder="1"/>
    <xf numFmtId="0" fontId="0" fillId="11" borderId="0" xfId="0" applyFill="1"/>
    <xf numFmtId="164" fontId="0" fillId="11" borderId="0" xfId="1" applyFont="1" applyFill="1"/>
    <xf numFmtId="164" fontId="0" fillId="11" borderId="0" xfId="0" applyNumberFormat="1" applyFill="1"/>
    <xf numFmtId="1" fontId="0" fillId="0" borderId="1" xfId="0" applyNumberFormat="1" applyBorder="1" applyAlignment="1">
      <alignment horizontal="right"/>
    </xf>
    <xf numFmtId="1" fontId="0" fillId="10" borderId="1" xfId="0" applyNumberFormat="1" applyFill="1" applyBorder="1"/>
    <xf numFmtId="1" fontId="0" fillId="9" borderId="1" xfId="0" applyNumberFormat="1" applyFill="1" applyBorder="1"/>
    <xf numFmtId="16" fontId="4" fillId="9" borderId="1" xfId="0" applyNumberFormat="1" applyFont="1" applyFill="1" applyBorder="1"/>
    <xf numFmtId="164" fontId="0" fillId="9" borderId="0" xfId="1" applyFont="1" applyFill="1"/>
    <xf numFmtId="164" fontId="0" fillId="9" borderId="0" xfId="0" applyNumberFormat="1" applyFill="1"/>
    <xf numFmtId="16" fontId="4" fillId="0" borderId="1" xfId="0" applyNumberFormat="1" applyFont="1" applyBorder="1"/>
    <xf numFmtId="16" fontId="4" fillId="15" borderId="1" xfId="0" applyNumberFormat="1" applyFont="1" applyFill="1" applyBorder="1"/>
    <xf numFmtId="16" fontId="0" fillId="15" borderId="1" xfId="0" applyNumberFormat="1" applyFill="1" applyBorder="1"/>
    <xf numFmtId="0" fontId="11" fillId="0" borderId="0" xfId="0" applyFont="1"/>
    <xf numFmtId="164" fontId="11" fillId="0" borderId="0" xfId="0" applyNumberFormat="1" applyFont="1"/>
    <xf numFmtId="0" fontId="4" fillId="0" borderId="0" xfId="0" applyFont="1"/>
    <xf numFmtId="164" fontId="4" fillId="0" borderId="0" xfId="0" applyNumberFormat="1" applyFont="1"/>
    <xf numFmtId="164" fontId="4" fillId="0" borderId="0" xfId="1" applyFont="1" applyFill="1" applyBorder="1"/>
    <xf numFmtId="164" fontId="11" fillId="0" borderId="0" xfId="1" applyFont="1" applyFill="1" applyBorder="1"/>
    <xf numFmtId="0" fontId="11" fillId="0" borderId="30" xfId="0" applyFont="1" applyBorder="1"/>
    <xf numFmtId="164" fontId="11" fillId="0" borderId="30" xfId="0" applyNumberFormat="1" applyFont="1" applyBorder="1"/>
    <xf numFmtId="164" fontId="0" fillId="10" borderId="0" xfId="1" applyFont="1" applyFill="1"/>
    <xf numFmtId="164" fontId="0" fillId="10" borderId="0" xfId="0" applyNumberFormat="1" applyFill="1"/>
    <xf numFmtId="0" fontId="12" fillId="0" borderId="0" xfId="0" applyFont="1"/>
    <xf numFmtId="41" fontId="2" fillId="0" borderId="0" xfId="2" applyFont="1" applyFill="1"/>
    <xf numFmtId="0" fontId="10" fillId="0" borderId="30" xfId="0" applyFont="1" applyBorder="1"/>
    <xf numFmtId="164" fontId="10" fillId="0" borderId="30" xfId="0" applyNumberFormat="1" applyFont="1" applyBorder="1"/>
    <xf numFmtId="0" fontId="13" fillId="0" borderId="0" xfId="0" applyFont="1"/>
    <xf numFmtId="0" fontId="16" fillId="0" borderId="0" xfId="0" applyFont="1"/>
    <xf numFmtId="41" fontId="4" fillId="0" borderId="0" xfId="2" applyFont="1" applyFill="1"/>
    <xf numFmtId="0" fontId="4" fillId="0" borderId="30" xfId="0" applyFont="1" applyBorder="1"/>
    <xf numFmtId="164" fontId="0" fillId="7" borderId="0" xfId="1" applyFont="1" applyFill="1"/>
    <xf numFmtId="164" fontId="0" fillId="7" borderId="0" xfId="0" applyNumberFormat="1" applyFill="1"/>
    <xf numFmtId="1" fontId="0" fillId="5" borderId="1" xfId="0" applyNumberFormat="1" applyFill="1" applyBorder="1"/>
    <xf numFmtId="15" fontId="0" fillId="5" borderId="1" xfId="0" applyNumberFormat="1" applyFill="1" applyBorder="1"/>
    <xf numFmtId="0" fontId="0" fillId="5" borderId="1" xfId="0" applyFill="1" applyBorder="1"/>
    <xf numFmtId="164" fontId="0" fillId="5" borderId="1" xfId="1" applyFont="1" applyFill="1" applyBorder="1"/>
    <xf numFmtId="164" fontId="0" fillId="5" borderId="1" xfId="0" applyNumberFormat="1" applyFill="1" applyBorder="1"/>
    <xf numFmtId="16" fontId="0" fillId="5" borderId="1" xfId="0" applyNumberFormat="1" applyFill="1" applyBorder="1"/>
    <xf numFmtId="16" fontId="4" fillId="5" borderId="1" xfId="0" applyNumberFormat="1" applyFont="1" applyFill="1" applyBorder="1"/>
    <xf numFmtId="0" fontId="0" fillId="5" borderId="0" xfId="0" applyFill="1"/>
    <xf numFmtId="164" fontId="0" fillId="5" borderId="0" xfId="1" applyFont="1" applyFill="1"/>
    <xf numFmtId="164" fontId="0" fillId="5" borderId="0" xfId="0" applyNumberFormat="1" applyFill="1"/>
    <xf numFmtId="15" fontId="4" fillId="9" borderId="1" xfId="0" applyNumberFormat="1" applyFont="1" applyFill="1" applyBorder="1"/>
    <xf numFmtId="15" fontId="4" fillId="7" borderId="1" xfId="0" applyNumberFormat="1" applyFont="1" applyFill="1" applyBorder="1"/>
    <xf numFmtId="15" fontId="4" fillId="5" borderId="1" xfId="0" applyNumberFormat="1" applyFont="1" applyFill="1" applyBorder="1"/>
    <xf numFmtId="15" fontId="4" fillId="0" borderId="1" xfId="0" applyNumberFormat="1" applyFont="1" applyBorder="1"/>
    <xf numFmtId="17" fontId="4" fillId="0" borderId="1" xfId="0" applyNumberFormat="1" applyFont="1" applyBorder="1"/>
    <xf numFmtId="164" fontId="9" fillId="0" borderId="1" xfId="0" applyNumberFormat="1" applyFont="1" applyBorder="1"/>
    <xf numFmtId="17" fontId="4" fillId="0" borderId="3" xfId="0" applyNumberFormat="1" applyFont="1" applyBorder="1"/>
    <xf numFmtId="164" fontId="0" fillId="0" borderId="3" xfId="0" applyNumberFormat="1" applyBorder="1"/>
    <xf numFmtId="1" fontId="0" fillId="0" borderId="31" xfId="0" applyNumberFormat="1" applyBorder="1"/>
    <xf numFmtId="164" fontId="0" fillId="0" borderId="32" xfId="0" applyNumberFormat="1" applyBorder="1"/>
    <xf numFmtId="1" fontId="0" fillId="0" borderId="33" xfId="0" applyNumberFormat="1" applyBorder="1"/>
    <xf numFmtId="164" fontId="0" fillId="0" borderId="34" xfId="0" applyNumberFormat="1" applyBorder="1"/>
    <xf numFmtId="1" fontId="2" fillId="0" borderId="35" xfId="0" applyNumberFormat="1" applyFont="1" applyBorder="1"/>
    <xf numFmtId="164" fontId="2" fillId="0" borderId="36" xfId="0" applyNumberFormat="1" applyFont="1" applyBorder="1"/>
    <xf numFmtId="1" fontId="2" fillId="0" borderId="37" xfId="0" applyNumberFormat="1" applyFont="1" applyBorder="1"/>
    <xf numFmtId="164" fontId="2" fillId="0" borderId="38" xfId="0" applyNumberFormat="1" applyFont="1" applyBorder="1"/>
    <xf numFmtId="41" fontId="0" fillId="0" borderId="34" xfId="0" applyNumberFormat="1" applyBorder="1"/>
    <xf numFmtId="1" fontId="0" fillId="16" borderId="1" xfId="0" applyNumberFormat="1" applyFill="1" applyBorder="1"/>
    <xf numFmtId="15" fontId="0" fillId="16" borderId="1" xfId="0" applyNumberFormat="1" applyFill="1" applyBorder="1"/>
    <xf numFmtId="0" fontId="0" fillId="16" borderId="1" xfId="0" applyFill="1" applyBorder="1"/>
    <xf numFmtId="164" fontId="0" fillId="16" borderId="1" xfId="1" applyFont="1" applyFill="1" applyBorder="1"/>
    <xf numFmtId="164" fontId="0" fillId="16" borderId="1" xfId="0" applyNumberFormat="1" applyFill="1" applyBorder="1"/>
    <xf numFmtId="15" fontId="4" fillId="16" borderId="1" xfId="0" applyNumberFormat="1" applyFont="1" applyFill="1" applyBorder="1"/>
    <xf numFmtId="16" fontId="4" fillId="16" borderId="1" xfId="0" applyNumberFormat="1" applyFont="1" applyFill="1" applyBorder="1"/>
    <xf numFmtId="16" fontId="0" fillId="16" borderId="1" xfId="0" applyNumberFormat="1" applyFill="1" applyBorder="1"/>
    <xf numFmtId="164" fontId="0" fillId="16" borderId="0" xfId="1" applyFont="1" applyFill="1"/>
    <xf numFmtId="164" fontId="0" fillId="16" borderId="0" xfId="0" applyNumberFormat="1" applyFill="1"/>
    <xf numFmtId="0" fontId="0" fillId="16" borderId="0" xfId="0" applyFill="1"/>
    <xf numFmtId="15" fontId="17" fillId="7" borderId="1" xfId="0" applyNumberFormat="1" applyFont="1" applyFill="1" applyBorder="1"/>
    <xf numFmtId="15" fontId="17" fillId="16" borderId="1" xfId="0" applyNumberFormat="1" applyFont="1" applyFill="1" applyBorder="1"/>
    <xf numFmtId="164" fontId="0" fillId="0" borderId="0" xfId="0" applyNumberFormat="1" applyAlignment="1">
      <alignment horizontal="center"/>
    </xf>
    <xf numFmtId="1" fontId="2" fillId="9" borderId="0" xfId="0" applyNumberFormat="1" applyFont="1" applyFill="1"/>
    <xf numFmtId="1" fontId="2" fillId="10" borderId="0" xfId="0" applyNumberFormat="1" applyFont="1" applyFill="1"/>
    <xf numFmtId="1" fontId="0" fillId="8" borderId="0" xfId="0" applyNumberFormat="1" applyFill="1"/>
    <xf numFmtId="1" fontId="0" fillId="14" borderId="0" xfId="0" applyNumberFormat="1" applyFill="1"/>
    <xf numFmtId="1" fontId="2" fillId="0" borderId="5" xfId="0" applyNumberFormat="1" applyFont="1" applyBorder="1"/>
    <xf numFmtId="41" fontId="0" fillId="0" borderId="0" xfId="0" applyNumberFormat="1"/>
    <xf numFmtId="0" fontId="0" fillId="7" borderId="3" xfId="0" applyFill="1" applyBorder="1"/>
    <xf numFmtId="16" fontId="0" fillId="2" borderId="1" xfId="0" applyNumberFormat="1" applyFill="1" applyBorder="1"/>
    <xf numFmtId="1" fontId="0" fillId="17" borderId="1" xfId="0" applyNumberFormat="1" applyFill="1" applyBorder="1"/>
    <xf numFmtId="15" fontId="0" fillId="17" borderId="1" xfId="0" applyNumberFormat="1" applyFill="1" applyBorder="1"/>
    <xf numFmtId="1" fontId="0" fillId="17" borderId="1" xfId="0" applyNumberFormat="1" applyFill="1" applyBorder="1" applyAlignment="1">
      <alignment horizontal="right"/>
    </xf>
    <xf numFmtId="0" fontId="0" fillId="17" borderId="1" xfId="0" applyFill="1" applyBorder="1"/>
    <xf numFmtId="164" fontId="0" fillId="17" borderId="1" xfId="1" applyFont="1" applyFill="1" applyBorder="1"/>
    <xf numFmtId="164" fontId="0" fillId="17" borderId="1" xfId="0" applyNumberFormat="1" applyFill="1" applyBorder="1"/>
    <xf numFmtId="15" fontId="4" fillId="17" borderId="1" xfId="0" applyNumberFormat="1" applyFont="1" applyFill="1" applyBorder="1"/>
    <xf numFmtId="16" fontId="4" fillId="17" borderId="1" xfId="0" applyNumberFormat="1" applyFont="1" applyFill="1" applyBorder="1"/>
    <xf numFmtId="16" fontId="0" fillId="17" borderId="1" xfId="0" applyNumberFormat="1" applyFill="1" applyBorder="1"/>
    <xf numFmtId="164" fontId="0" fillId="17" borderId="0" xfId="1" applyFont="1" applyFill="1"/>
    <xf numFmtId="164" fontId="0" fillId="17" borderId="0" xfId="0" applyNumberFormat="1" applyFill="1"/>
    <xf numFmtId="0" fontId="0" fillId="17" borderId="0" xfId="0" applyFill="1"/>
    <xf numFmtId="15" fontId="4" fillId="12" borderId="1" xfId="0" applyNumberFormat="1" applyFont="1" applyFill="1" applyBorder="1"/>
    <xf numFmtId="15" fontId="17" fillId="12" borderId="1" xfId="0" applyNumberFormat="1" applyFont="1" applyFill="1" applyBorder="1"/>
    <xf numFmtId="1" fontId="0" fillId="12" borderId="1" xfId="0" applyNumberFormat="1" applyFill="1" applyBorder="1" applyAlignment="1">
      <alignment horizontal="right"/>
    </xf>
    <xf numFmtId="1" fontId="0" fillId="18" borderId="1" xfId="0" applyNumberFormat="1" applyFill="1" applyBorder="1"/>
    <xf numFmtId="15" fontId="0" fillId="18" borderId="1" xfId="0" applyNumberFormat="1" applyFill="1" applyBorder="1"/>
    <xf numFmtId="0" fontId="0" fillId="18" borderId="1" xfId="0" applyFill="1" applyBorder="1"/>
    <xf numFmtId="164" fontId="0" fillId="18" borderId="1" xfId="0" applyNumberFormat="1" applyFill="1" applyBorder="1"/>
    <xf numFmtId="164" fontId="0" fillId="18" borderId="1" xfId="1" applyFont="1" applyFill="1" applyBorder="1"/>
    <xf numFmtId="15" fontId="4" fillId="18" borderId="1" xfId="0" applyNumberFormat="1" applyFont="1" applyFill="1" applyBorder="1"/>
    <xf numFmtId="16" fontId="4" fillId="18" borderId="1" xfId="0" applyNumberFormat="1" applyFont="1" applyFill="1" applyBorder="1"/>
    <xf numFmtId="16" fontId="0" fillId="18" borderId="1" xfId="0" applyNumberFormat="1" applyFill="1" applyBorder="1"/>
    <xf numFmtId="164" fontId="0" fillId="18" borderId="0" xfId="1" applyFont="1" applyFill="1"/>
    <xf numFmtId="164" fontId="0" fillId="18" borderId="0" xfId="0" applyNumberFormat="1" applyFill="1"/>
    <xf numFmtId="0" fontId="0" fillId="18" borderId="0" xfId="0" applyFill="1"/>
    <xf numFmtId="164" fontId="0" fillId="19" borderId="1" xfId="0" applyNumberFormat="1" applyFill="1" applyBorder="1"/>
    <xf numFmtId="0" fontId="0" fillId="20" borderId="1" xfId="0" applyFill="1" applyBorder="1"/>
    <xf numFmtId="164" fontId="0" fillId="20" borderId="1" xfId="1" applyFont="1" applyFill="1" applyBorder="1"/>
    <xf numFmtId="164" fontId="0" fillId="20" borderId="1" xfId="0" applyNumberFormat="1" applyFill="1" applyBorder="1"/>
    <xf numFmtId="15" fontId="0" fillId="20" borderId="1" xfId="0" applyNumberFormat="1" applyFill="1" applyBorder="1"/>
    <xf numFmtId="15" fontId="17" fillId="20" borderId="1" xfId="0" applyNumberFormat="1" applyFont="1" applyFill="1" applyBorder="1"/>
    <xf numFmtId="16" fontId="4" fillId="20" borderId="1" xfId="0" applyNumberFormat="1" applyFont="1" applyFill="1" applyBorder="1"/>
    <xf numFmtId="16" fontId="0" fillId="20" borderId="1" xfId="0" applyNumberFormat="1" applyFill="1" applyBorder="1"/>
    <xf numFmtId="164" fontId="0" fillId="20" borderId="0" xfId="1" applyFont="1" applyFill="1"/>
    <xf numFmtId="164" fontId="0" fillId="20" borderId="0" xfId="0" applyNumberFormat="1" applyFill="1"/>
    <xf numFmtId="0" fontId="0" fillId="20" borderId="0" xfId="0" applyFill="1"/>
    <xf numFmtId="1" fontId="0" fillId="20" borderId="1" xfId="0" applyNumberFormat="1" applyFill="1" applyBorder="1"/>
    <xf numFmtId="15" fontId="17" fillId="11" borderId="1" xfId="0" applyNumberFormat="1" applyFont="1" applyFill="1" applyBorder="1"/>
    <xf numFmtId="1" fontId="0" fillId="20" borderId="33" xfId="0" applyNumberFormat="1" applyFill="1" applyBorder="1"/>
    <xf numFmtId="164" fontId="0" fillId="20" borderId="34" xfId="0" applyNumberFormat="1" applyFill="1" applyBorder="1"/>
    <xf numFmtId="15" fontId="17" fillId="9" borderId="1" xfId="0" applyNumberFormat="1" applyFont="1" applyFill="1" applyBorder="1"/>
    <xf numFmtId="164" fontId="13" fillId="0" borderId="0" xfId="1" applyFont="1" applyFill="1" applyBorder="1"/>
    <xf numFmtId="41" fontId="13" fillId="0" borderId="0" xfId="2" applyFont="1" applyFill="1"/>
    <xf numFmtId="164" fontId="10" fillId="0" borderId="0" xfId="1" applyFont="1" applyFill="1" applyBorder="1"/>
    <xf numFmtId="0" fontId="13" fillId="0" borderId="0" xfId="0" applyFont="1" applyAlignment="1">
      <alignment horizontal="center"/>
    </xf>
    <xf numFmtId="164" fontId="13" fillId="0" borderId="0" xfId="0" applyNumberFormat="1" applyFont="1"/>
    <xf numFmtId="0" fontId="18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/>
    <xf numFmtId="164" fontId="4" fillId="0" borderId="1" xfId="1" applyFont="1" applyFill="1" applyBorder="1"/>
    <xf numFmtId="0" fontId="4" fillId="0" borderId="1" xfId="0" applyFont="1" applyBorder="1"/>
    <xf numFmtId="164" fontId="11" fillId="0" borderId="1" xfId="0" applyNumberFormat="1" applyFont="1" applyBorder="1"/>
    <xf numFmtId="1" fontId="0" fillId="0" borderId="0" xfId="0" applyNumberFormat="1" applyBorder="1"/>
    <xf numFmtId="15" fontId="0" fillId="0" borderId="0" xfId="0" applyNumberFormat="1" applyBorder="1"/>
    <xf numFmtId="1" fontId="0" fillId="0" borderId="0" xfId="0" applyNumberFormat="1" applyBorder="1" applyAlignment="1">
      <alignment horizontal="right"/>
    </xf>
    <xf numFmtId="0" fontId="0" fillId="0" borderId="0" xfId="0" applyBorder="1"/>
    <xf numFmtId="164" fontId="0" fillId="0" borderId="0" xfId="0" applyNumberFormat="1" applyBorder="1"/>
    <xf numFmtId="15" fontId="4" fillId="0" borderId="0" xfId="0" applyNumberFormat="1" applyFont="1" applyBorder="1"/>
    <xf numFmtId="16" fontId="4" fillId="0" borderId="0" xfId="0" applyNumberFormat="1" applyFont="1" applyBorder="1"/>
    <xf numFmtId="16" fontId="0" fillId="0" borderId="0" xfId="0" applyNumberFormat="1" applyBorder="1"/>
    <xf numFmtId="0" fontId="4" fillId="2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4" borderId="3" xfId="0" applyFill="1" applyBorder="1" applyAlignment="1">
      <alignment horizont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" fontId="0" fillId="20" borderId="2" xfId="0" applyNumberFormat="1" applyFill="1" applyBorder="1" applyAlignment="1">
      <alignment horizontal="center" vertical="center"/>
    </xf>
    <xf numFmtId="1" fontId="0" fillId="20" borderId="3" xfId="0" applyNumberFormat="1" applyFill="1" applyBorder="1" applyAlignment="1">
      <alignment horizontal="center" vertical="center"/>
    </xf>
    <xf numFmtId="15" fontId="0" fillId="20" borderId="2" xfId="0" applyNumberFormat="1" applyFill="1" applyBorder="1" applyAlignment="1">
      <alignment horizontal="right" vertical="center"/>
    </xf>
    <xf numFmtId="15" fontId="0" fillId="20" borderId="3" xfId="0" applyNumberFormat="1" applyFill="1" applyBorder="1" applyAlignment="1">
      <alignment horizontal="right" vertical="center"/>
    </xf>
    <xf numFmtId="1" fontId="0" fillId="20" borderId="2" xfId="0" applyNumberFormat="1" applyFill="1" applyBorder="1" applyAlignment="1">
      <alignment horizontal="right" vertical="center"/>
    </xf>
    <xf numFmtId="1" fontId="0" fillId="20" borderId="3" xfId="0" applyNumberFormat="1" applyFill="1" applyBorder="1" applyAlignment="1">
      <alignment horizontal="right" vertical="center"/>
    </xf>
    <xf numFmtId="164" fontId="0" fillId="7" borderId="2" xfId="1" applyFont="1" applyFill="1" applyBorder="1" applyAlignment="1">
      <alignment horizontal="center" vertical="center"/>
    </xf>
    <xf numFmtId="164" fontId="0" fillId="7" borderId="3" xfId="1" applyFon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center" vertical="center"/>
    </xf>
    <xf numFmtId="1" fontId="0" fillId="7" borderId="3" xfId="0" applyNumberFormat="1" applyFill="1" applyBorder="1" applyAlignment="1">
      <alignment horizontal="center" vertical="center"/>
    </xf>
    <xf numFmtId="15" fontId="0" fillId="7" borderId="2" xfId="0" applyNumberFormat="1" applyFill="1" applyBorder="1" applyAlignment="1">
      <alignment horizontal="center" vertical="center"/>
    </xf>
    <xf numFmtId="15" fontId="0" fillId="7" borderId="3" xfId="0" applyNumberForma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right" vertical="center"/>
    </xf>
    <xf numFmtId="1" fontId="0" fillId="7" borderId="3" xfId="0" applyNumberFormat="1" applyFill="1" applyBorder="1" applyAlignment="1">
      <alignment horizontal="right" vertical="center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164" fontId="0" fillId="7" borderId="2" xfId="1" applyFont="1" applyFill="1" applyBorder="1" applyAlignment="1">
      <alignment horizontal="center"/>
    </xf>
    <xf numFmtId="164" fontId="0" fillId="7" borderId="3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</cellXfs>
  <cellStyles count="3">
    <cellStyle name="Comma [0]" xfId="1" builtinId="6"/>
    <cellStyle name="Comma [0] 2 5" xfId="2" xr:uid="{4DFB5450-68C0-4286-8AAA-8ED8F09DDABA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FDDC-BA88-4578-8FCD-FEA5846FEE6B}">
  <dimension ref="A1:AD50"/>
  <sheetViews>
    <sheetView showGridLines="0" zoomScale="85" zoomScaleNormal="85" workbookViewId="0">
      <pane xSplit="5" ySplit="9" topLeftCell="F21" activePane="bottomRight" state="frozen"/>
      <selection pane="topRight" activeCell="E1" sqref="E1"/>
      <selection pane="bottomLeft" activeCell="A5" sqref="A5"/>
      <selection pane="bottomRight" activeCell="H44" sqref="H44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9" width="14.28515625" bestFit="1" customWidth="1"/>
    <col min="10" max="10" width="15" bestFit="1" customWidth="1"/>
    <col min="11" max="11" width="14.85546875" bestFit="1" customWidth="1"/>
    <col min="12" max="12" width="11.5703125" bestFit="1" customWidth="1"/>
    <col min="13" max="13" width="14.28515625" bestFit="1" customWidth="1"/>
    <col min="14" max="14" width="3.7109375" customWidth="1" outlineLevel="1"/>
    <col min="15" max="16" width="4.57031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3" width="14.28515625" bestFit="1" customWidth="1"/>
    <col min="24" max="24" width="13.8554687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</cols>
  <sheetData>
    <row r="1" spans="1:30" ht="15.75" x14ac:dyDescent="0.25">
      <c r="B1" s="47" t="s">
        <v>33</v>
      </c>
    </row>
    <row r="2" spans="1:30" x14ac:dyDescent="0.25">
      <c r="B2" s="28"/>
    </row>
    <row r="3" spans="1:30" x14ac:dyDescent="0.25">
      <c r="B3" s="45"/>
      <c r="C3" t="s">
        <v>63</v>
      </c>
    </row>
    <row r="4" spans="1:30" x14ac:dyDescent="0.25">
      <c r="B4" s="46"/>
      <c r="C4" t="s">
        <v>69</v>
      </c>
    </row>
    <row r="5" spans="1:30" x14ac:dyDescent="0.25">
      <c r="B5" s="43"/>
      <c r="C5" t="s">
        <v>70</v>
      </c>
    </row>
    <row r="6" spans="1:30" x14ac:dyDescent="0.25">
      <c r="B6" s="44"/>
      <c r="C6" t="s">
        <v>65</v>
      </c>
    </row>
    <row r="7" spans="1:30" x14ac:dyDescent="0.25"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0" x14ac:dyDescent="0.25">
      <c r="A8" s="321" t="s">
        <v>78</v>
      </c>
      <c r="B8" s="321" t="s">
        <v>1</v>
      </c>
      <c r="C8" s="320" t="s">
        <v>22</v>
      </c>
      <c r="D8" s="322" t="s">
        <v>55</v>
      </c>
      <c r="E8" s="320" t="str">
        <f>Detail!E3</f>
        <v>Qty</v>
      </c>
      <c r="F8" s="324" t="s">
        <v>59</v>
      </c>
      <c r="G8" s="320" t="str">
        <f>Detail!F3</f>
        <v>Harga</v>
      </c>
      <c r="H8" s="320" t="s">
        <v>29</v>
      </c>
      <c r="I8" s="320" t="s">
        <v>7</v>
      </c>
      <c r="J8" s="320" t="s">
        <v>28</v>
      </c>
      <c r="K8" s="320" t="str">
        <f>Detail!I3</f>
        <v>Margin</v>
      </c>
      <c r="L8" s="320" t="s">
        <v>19</v>
      </c>
      <c r="M8" s="324" t="s">
        <v>67</v>
      </c>
      <c r="N8" s="327" t="s">
        <v>23</v>
      </c>
      <c r="O8" s="327"/>
      <c r="P8" s="327"/>
      <c r="Q8" s="327"/>
      <c r="R8" s="327"/>
      <c r="S8" s="327"/>
      <c r="T8" s="25"/>
      <c r="U8" s="328" t="s">
        <v>52</v>
      </c>
      <c r="V8" s="328" t="s">
        <v>34</v>
      </c>
      <c r="W8" s="331" t="s">
        <v>8</v>
      </c>
      <c r="X8" s="328" t="s">
        <v>31</v>
      </c>
      <c r="Y8" s="333" t="s">
        <v>54</v>
      </c>
      <c r="Z8" s="331" t="s">
        <v>53</v>
      </c>
      <c r="AA8" s="333" t="s">
        <v>80</v>
      </c>
      <c r="AB8" s="333" t="s">
        <v>82</v>
      </c>
      <c r="AC8" s="325" t="s">
        <v>62</v>
      </c>
      <c r="AD8" s="325" t="s">
        <v>66</v>
      </c>
    </row>
    <row r="9" spans="1:30" x14ac:dyDescent="0.25">
      <c r="A9" s="321"/>
      <c r="B9" s="321"/>
      <c r="C9" s="320"/>
      <c r="D9" s="323"/>
      <c r="E9" s="320"/>
      <c r="F9" s="323"/>
      <c r="G9" s="320"/>
      <c r="H9" s="320"/>
      <c r="I9" s="320"/>
      <c r="J9" s="320"/>
      <c r="K9" s="320"/>
      <c r="L9" s="320"/>
      <c r="M9" s="326"/>
      <c r="N9" s="3" t="s">
        <v>20</v>
      </c>
      <c r="O9" s="3" t="s">
        <v>21</v>
      </c>
      <c r="P9" s="3" t="s">
        <v>24</v>
      </c>
      <c r="Q9" s="3" t="s">
        <v>25</v>
      </c>
      <c r="R9" s="3" t="s">
        <v>26</v>
      </c>
      <c r="S9" s="3" t="s">
        <v>27</v>
      </c>
      <c r="T9" s="26" t="s">
        <v>57</v>
      </c>
      <c r="U9" s="329"/>
      <c r="V9" s="330"/>
      <c r="W9" s="332"/>
      <c r="X9" s="330"/>
      <c r="Y9" s="334"/>
      <c r="Z9" s="332"/>
      <c r="AA9" s="334"/>
      <c r="AB9" s="334"/>
      <c r="AC9" s="325"/>
      <c r="AD9" s="325" t="s">
        <v>66</v>
      </c>
    </row>
    <row r="10" spans="1:30" x14ac:dyDescent="0.25">
      <c r="A10" s="30">
        <v>1</v>
      </c>
      <c r="B10" s="30">
        <v>5200954145</v>
      </c>
      <c r="C10" s="21">
        <f>VLOOKUP($B10,Detail!$B$4:$Q$21,2,0)</f>
        <v>45839</v>
      </c>
      <c r="D10" s="20" t="s">
        <v>3</v>
      </c>
      <c r="E10" s="22">
        <f>SUMIF(Detail!$B$4:$B$21,'Summary (2)'!$B10,Detail!$E$4:$E$21)</f>
        <v>2</v>
      </c>
      <c r="F10" s="22"/>
      <c r="G10" s="22">
        <f>VLOOKUP($B10,Detail!$B$4:$Q$21,5,0)</f>
        <v>225000000</v>
      </c>
      <c r="H10" s="22">
        <f t="shared" ref="H10:H25" si="0">E10*G10</f>
        <v>450000000</v>
      </c>
      <c r="I10" s="22">
        <f>SUMIF(Detail!$B$4:$B$21,'Summary (2)'!B10,Detail!$H$4:$H$21)</f>
        <v>225000000</v>
      </c>
      <c r="J10" s="22">
        <f t="shared" ref="J10:J18" si="1">(I10*20%)/E10</f>
        <v>22500000</v>
      </c>
      <c r="K10" s="23">
        <f t="shared" ref="K10:K18" si="2">I10*20%</f>
        <v>45000000</v>
      </c>
      <c r="L10" s="23"/>
      <c r="M10" s="23">
        <f>SUM(K10:L10)</f>
        <v>45000000</v>
      </c>
      <c r="N10" s="23">
        <f>E10</f>
        <v>2</v>
      </c>
      <c r="O10" s="20"/>
      <c r="P10" s="20"/>
      <c r="Q10" s="20"/>
      <c r="R10" s="20"/>
      <c r="S10" s="20"/>
      <c r="T10" s="20"/>
      <c r="U10" s="23">
        <f t="shared" ref="U10:U25" si="3">SUM(N10:S10)</f>
        <v>2</v>
      </c>
      <c r="V10" s="23">
        <f t="shared" ref="V10:V25" si="4">E10-U10</f>
        <v>0</v>
      </c>
      <c r="W10" s="22">
        <f t="shared" ref="W10:W24" si="5">J10*U10</f>
        <v>45000000</v>
      </c>
      <c r="X10" s="23">
        <f t="shared" ref="X10:X24" si="6">K10-W10</f>
        <v>0</v>
      </c>
      <c r="Y10" s="42">
        <v>45861</v>
      </c>
      <c r="Z10" s="42">
        <v>45863</v>
      </c>
      <c r="AA10" s="42">
        <v>45894</v>
      </c>
      <c r="AB10" s="42"/>
      <c r="AC10" s="20" t="s">
        <v>63</v>
      </c>
      <c r="AD10" s="20"/>
    </row>
    <row r="11" spans="1:30" x14ac:dyDescent="0.25">
      <c r="A11" s="30">
        <v>2</v>
      </c>
      <c r="B11" s="30">
        <v>5200954149</v>
      </c>
      <c r="C11" s="21">
        <f>VLOOKUP($B11,Detail!$B$4:$Q$21,2,0)</f>
        <v>45839</v>
      </c>
      <c r="D11" s="20" t="s">
        <v>3</v>
      </c>
      <c r="E11" s="22">
        <f>SUMIF(Detail!$B$4:$B$21,'Summary (2)'!$B11,Detail!$E$4:$E$21)</f>
        <v>3</v>
      </c>
      <c r="F11" s="22"/>
      <c r="G11" s="22">
        <f>VLOOKUP($B11,Detail!$B$4:$Q$21,5,0)</f>
        <v>225000000</v>
      </c>
      <c r="H11" s="22">
        <f t="shared" si="0"/>
        <v>675000000</v>
      </c>
      <c r="I11" s="22">
        <f>SUMIF(Detail!$B$4:$B$21,'Summary (2)'!B11,Detail!$H$4:$H$21)</f>
        <v>337500000</v>
      </c>
      <c r="J11" s="22">
        <f t="shared" si="1"/>
        <v>22500000</v>
      </c>
      <c r="K11" s="23">
        <f t="shared" si="2"/>
        <v>67500000</v>
      </c>
      <c r="L11" s="23"/>
      <c r="M11" s="23">
        <f t="shared" ref="M11:M16" si="7">SUM(K11:L11)</f>
        <v>67500000</v>
      </c>
      <c r="N11" s="23">
        <f>E11</f>
        <v>3</v>
      </c>
      <c r="O11" s="20"/>
      <c r="P11" s="20"/>
      <c r="Q11" s="20"/>
      <c r="R11" s="20"/>
      <c r="S11" s="20"/>
      <c r="T11" s="20"/>
      <c r="U11" s="23">
        <f t="shared" si="3"/>
        <v>3</v>
      </c>
      <c r="V11" s="23">
        <f t="shared" si="4"/>
        <v>0</v>
      </c>
      <c r="W11" s="22">
        <f t="shared" si="5"/>
        <v>67500000</v>
      </c>
      <c r="X11" s="23">
        <f t="shared" si="6"/>
        <v>0</v>
      </c>
      <c r="Y11" s="42">
        <v>45861</v>
      </c>
      <c r="Z11" s="42">
        <v>45863</v>
      </c>
      <c r="AA11" s="42">
        <v>45894</v>
      </c>
      <c r="AB11" s="42"/>
      <c r="AC11" s="20" t="s">
        <v>63</v>
      </c>
      <c r="AD11" s="20"/>
    </row>
    <row r="12" spans="1:30" x14ac:dyDescent="0.25">
      <c r="A12" s="30">
        <v>3</v>
      </c>
      <c r="B12" s="30">
        <v>5200954160</v>
      </c>
      <c r="C12" s="21">
        <f>VLOOKUP($B12,Detail!$B$4:$Q$21,2,0)</f>
        <v>45839</v>
      </c>
      <c r="D12" s="20" t="s">
        <v>3</v>
      </c>
      <c r="E12" s="22">
        <f>SUMIF(Detail!$B$4:$B$21,'Summary (2)'!$B12,Detail!$E$4:$E$21)</f>
        <v>3</v>
      </c>
      <c r="F12" s="22"/>
      <c r="G12" s="22">
        <f>VLOOKUP($B12,Detail!$B$4:$Q$21,5,0)</f>
        <v>225000000</v>
      </c>
      <c r="H12" s="22">
        <f t="shared" si="0"/>
        <v>675000000</v>
      </c>
      <c r="I12" s="22">
        <f>SUMIF(Detail!$B$4:$B$21,'Summary (2)'!B12,Detail!$H$4:$H$21)</f>
        <v>337500000</v>
      </c>
      <c r="J12" s="22">
        <f t="shared" si="1"/>
        <v>22500000</v>
      </c>
      <c r="K12" s="23">
        <f t="shared" si="2"/>
        <v>67500000</v>
      </c>
      <c r="L12" s="23"/>
      <c r="M12" s="23">
        <f t="shared" si="7"/>
        <v>67500000</v>
      </c>
      <c r="N12" s="23">
        <f>E12</f>
        <v>3</v>
      </c>
      <c r="O12" s="20"/>
      <c r="P12" s="20"/>
      <c r="Q12" s="20"/>
      <c r="R12" s="20"/>
      <c r="S12" s="20"/>
      <c r="T12" s="20"/>
      <c r="U12" s="23">
        <f t="shared" si="3"/>
        <v>3</v>
      </c>
      <c r="V12" s="23">
        <f t="shared" si="4"/>
        <v>0</v>
      </c>
      <c r="W12" s="22">
        <f t="shared" si="5"/>
        <v>67500000</v>
      </c>
      <c r="X12" s="23">
        <f t="shared" si="6"/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</row>
    <row r="13" spans="1:30" x14ac:dyDescent="0.25">
      <c r="A13" s="30">
        <v>4</v>
      </c>
      <c r="B13" s="30">
        <v>5200954165</v>
      </c>
      <c r="C13" s="21">
        <f>VLOOKUP($B13,Detail!$B$4:$Q$21,2,0)</f>
        <v>45870</v>
      </c>
      <c r="D13" s="20" t="s">
        <v>3</v>
      </c>
      <c r="E13" s="22">
        <f>SUMIF(Detail!$B$4:$B$21,'Summary (2)'!$B13,Detail!$E$4:$E$21)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(2)'!B13,Detail!$H$4:$H$21)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si="7"/>
        <v>67500000</v>
      </c>
      <c r="N13" s="20"/>
      <c r="O13" s="23">
        <f>E13</f>
        <v>3</v>
      </c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45868</v>
      </c>
      <c r="Z13" s="42">
        <v>45873</v>
      </c>
      <c r="AA13" s="42">
        <v>45904</v>
      </c>
      <c r="AB13" s="42"/>
      <c r="AC13" s="20" t="s">
        <v>63</v>
      </c>
      <c r="AD13" s="20"/>
    </row>
    <row r="14" spans="1:30" x14ac:dyDescent="0.25">
      <c r="A14" s="30">
        <v>5</v>
      </c>
      <c r="B14" s="30">
        <v>5200954167</v>
      </c>
      <c r="C14" s="21">
        <f>VLOOKUP($B14,Detail!$B$4:$Q$21,2,0)</f>
        <v>45870</v>
      </c>
      <c r="D14" s="20" t="s">
        <v>3</v>
      </c>
      <c r="E14" s="22">
        <f>SUMIF(Detail!$B$4:$B$21,'Summary (2)'!$B14,Detail!$E$4:$E$21)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(2)'!B14,Detail!$H$4:$H$21)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0"/>
      <c r="O14" s="23">
        <f>E14</f>
        <v>3</v>
      </c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45868</v>
      </c>
      <c r="Z14" s="42">
        <v>45873</v>
      </c>
      <c r="AA14" s="42">
        <v>45904</v>
      </c>
      <c r="AB14" s="42"/>
      <c r="AC14" s="20" t="s">
        <v>63</v>
      </c>
      <c r="AD14" s="20"/>
    </row>
    <row r="15" spans="1:30" x14ac:dyDescent="0.25">
      <c r="A15" s="30">
        <v>6</v>
      </c>
      <c r="B15" s="30">
        <v>5200954168</v>
      </c>
      <c r="C15" s="21">
        <f>VLOOKUP($B15,Detail!$B$4:$Q$21,2,0)</f>
        <v>45870</v>
      </c>
      <c r="D15" s="20" t="s">
        <v>3</v>
      </c>
      <c r="E15" s="22">
        <f>SUMIF(Detail!$B$4:$B$21,'Summary (2)'!$B15,Detail!$E$4:$E$21)</f>
        <v>2</v>
      </c>
      <c r="F15" s="22"/>
      <c r="G15" s="22">
        <f>VLOOKUP($B15,Detail!$B$4:$Q$21,5,0)</f>
        <v>225000000</v>
      </c>
      <c r="H15" s="22">
        <f t="shared" si="0"/>
        <v>450000000</v>
      </c>
      <c r="I15" s="22">
        <f>SUMIF(Detail!$B$4:$B$21,'Summary (2)'!B15,Detail!$H$4:$H$21)</f>
        <v>225000000</v>
      </c>
      <c r="J15" s="22">
        <f t="shared" si="1"/>
        <v>22500000</v>
      </c>
      <c r="K15" s="23">
        <f t="shared" si="2"/>
        <v>45000000</v>
      </c>
      <c r="L15" s="23"/>
      <c r="M15" s="23">
        <f t="shared" si="7"/>
        <v>45000000</v>
      </c>
      <c r="N15" s="20"/>
      <c r="O15" s="23">
        <f>E15</f>
        <v>2</v>
      </c>
      <c r="P15" s="20"/>
      <c r="Q15" s="20"/>
      <c r="R15" s="20"/>
      <c r="S15" s="20"/>
      <c r="T15" s="20"/>
      <c r="U15" s="23">
        <f t="shared" si="3"/>
        <v>2</v>
      </c>
      <c r="V15" s="23">
        <f t="shared" si="4"/>
        <v>0</v>
      </c>
      <c r="W15" s="22">
        <f t="shared" si="5"/>
        <v>45000000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</row>
    <row r="16" spans="1:30" x14ac:dyDescent="0.25">
      <c r="A16" s="30">
        <v>7</v>
      </c>
      <c r="B16" s="30">
        <v>5200954169</v>
      </c>
      <c r="C16" s="21">
        <f>VLOOKUP($B16,Detail!$B$4:$Q$21,2,0)</f>
        <v>45870</v>
      </c>
      <c r="D16" s="20" t="s">
        <v>3</v>
      </c>
      <c r="E16" s="22">
        <f>SUMIF(Detail!$B$4:$B$21,'Summary (2)'!$B16,Detail!$E$4:$E$21)</f>
        <v>2</v>
      </c>
      <c r="F16" s="22"/>
      <c r="G16" s="22">
        <f>VLOOKUP($B16,Detail!$B$4:$Q$21,5,0)</f>
        <v>225000000</v>
      </c>
      <c r="H16" s="22">
        <f t="shared" si="0"/>
        <v>450000000</v>
      </c>
      <c r="I16" s="22">
        <f>SUMIF(Detail!$B$4:$B$21,'Summary (2)'!B16,Detail!$H$4:$H$21)</f>
        <v>225000000</v>
      </c>
      <c r="J16" s="22">
        <f t="shared" si="1"/>
        <v>22500000</v>
      </c>
      <c r="K16" s="23">
        <f t="shared" si="2"/>
        <v>45000000</v>
      </c>
      <c r="L16" s="23"/>
      <c r="M16" s="23">
        <f t="shared" si="7"/>
        <v>45000000</v>
      </c>
      <c r="N16" s="20"/>
      <c r="O16" s="23">
        <f>E16</f>
        <v>2</v>
      </c>
      <c r="P16" s="20"/>
      <c r="Q16" s="20"/>
      <c r="R16" s="20"/>
      <c r="S16" s="20"/>
      <c r="T16" s="20"/>
      <c r="U16" s="23">
        <f t="shared" si="3"/>
        <v>2</v>
      </c>
      <c r="V16" s="23">
        <f t="shared" si="4"/>
        <v>0</v>
      </c>
      <c r="W16" s="22">
        <f t="shared" si="5"/>
        <v>45000000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</row>
    <row r="17" spans="1:30" x14ac:dyDescent="0.25">
      <c r="A17" s="34">
        <v>8</v>
      </c>
      <c r="B17" s="34">
        <v>5200777098</v>
      </c>
      <c r="C17" s="35">
        <f>VLOOKUP($B17,Detail!$B$4:$Q$25,2,0)</f>
        <v>45877</v>
      </c>
      <c r="D17" s="36" t="s">
        <v>44</v>
      </c>
      <c r="E17" s="37">
        <f>SUMIF(Detail!$B$4:$B$25,'Summary (2)'!$B17,Detail!$E$4:$E$25)</f>
        <v>1</v>
      </c>
      <c r="F17" s="37"/>
      <c r="G17" s="37">
        <f>VLOOKUP($B17,Detail!$B$4:$Q$25,5,0)</f>
        <v>1149199000</v>
      </c>
      <c r="H17" s="37">
        <f t="shared" si="0"/>
        <v>1149199000</v>
      </c>
      <c r="I17" s="37">
        <f>SUMIF(Detail!$B$4:$B$25,'Summary (2)'!B17,Detail!$H$4:$H$25)</f>
        <v>574599500</v>
      </c>
      <c r="J17" s="37">
        <f t="shared" si="1"/>
        <v>114919900</v>
      </c>
      <c r="K17" s="38">
        <f t="shared" si="2"/>
        <v>114919900</v>
      </c>
      <c r="L17" s="38"/>
      <c r="M17" s="38">
        <f>SUM(K17:L17)</f>
        <v>114919900</v>
      </c>
      <c r="N17" s="36"/>
      <c r="O17" s="38">
        <v>0</v>
      </c>
      <c r="P17" s="36">
        <v>1</v>
      </c>
      <c r="Q17" s="36"/>
      <c r="R17" s="36"/>
      <c r="S17" s="36"/>
      <c r="T17" s="36"/>
      <c r="U17" s="38">
        <f t="shared" si="3"/>
        <v>1</v>
      </c>
      <c r="V17" s="38">
        <f t="shared" si="4"/>
        <v>0</v>
      </c>
      <c r="W17" s="37">
        <f t="shared" si="5"/>
        <v>114919900</v>
      </c>
      <c r="X17" s="38">
        <f t="shared" si="6"/>
        <v>0</v>
      </c>
      <c r="Y17" s="39">
        <v>45930</v>
      </c>
      <c r="Z17" s="39">
        <f>Y17+7</f>
        <v>45937</v>
      </c>
      <c r="AA17" s="39">
        <f>Z17+30</f>
        <v>45967</v>
      </c>
      <c r="AB17" s="39">
        <f>Z17+60</f>
        <v>45997</v>
      </c>
      <c r="AC17" s="36" t="s">
        <v>69</v>
      </c>
      <c r="AD17" s="36"/>
    </row>
    <row r="18" spans="1:30" x14ac:dyDescent="0.25">
      <c r="A18" s="34">
        <v>9</v>
      </c>
      <c r="B18" s="34">
        <v>5200776987</v>
      </c>
      <c r="C18" s="35">
        <f>VLOOKUP($B18,Detail!$B$4:$Q$25,2,0)</f>
        <v>45877</v>
      </c>
      <c r="D18" s="36" t="s">
        <v>3</v>
      </c>
      <c r="E18" s="37">
        <f>SUMIF(Detail!$B$4:$B$25,'Summary (2)'!$B18,Detail!$E$4:$E$25)</f>
        <v>2</v>
      </c>
      <c r="F18" s="37"/>
      <c r="G18" s="37">
        <f>VLOOKUP($B18,Detail!$B$4:$Q$25,5,0)</f>
        <v>225000000</v>
      </c>
      <c r="H18" s="37">
        <f t="shared" si="0"/>
        <v>450000000</v>
      </c>
      <c r="I18" s="37">
        <f>SUMIF(Detail!$B$4:$B$25,'Summary (2)'!B18,Detail!$H$4:$H$25)</f>
        <v>225000000</v>
      </c>
      <c r="J18" s="37">
        <f t="shared" si="1"/>
        <v>22500000</v>
      </c>
      <c r="K18" s="38">
        <f t="shared" si="2"/>
        <v>45000000</v>
      </c>
      <c r="L18" s="38"/>
      <c r="M18" s="38">
        <f t="shared" ref="M18:M25" si="8">SUM(K18:L18)</f>
        <v>45000000</v>
      </c>
      <c r="N18" s="36"/>
      <c r="O18" s="38">
        <v>0</v>
      </c>
      <c r="P18" s="36">
        <v>2</v>
      </c>
      <c r="Q18" s="36"/>
      <c r="R18" s="36"/>
      <c r="S18" s="36"/>
      <c r="T18" s="36"/>
      <c r="U18" s="38">
        <f t="shared" si="3"/>
        <v>2</v>
      </c>
      <c r="V18" s="38">
        <f t="shared" si="4"/>
        <v>0</v>
      </c>
      <c r="W18" s="37">
        <f t="shared" si="5"/>
        <v>45000000</v>
      </c>
      <c r="X18" s="38">
        <f t="shared" si="6"/>
        <v>0</v>
      </c>
      <c r="Y18" s="39">
        <v>45923</v>
      </c>
      <c r="Z18" s="39">
        <f t="shared" ref="Z18:Z25" si="9">Y18+7</f>
        <v>45930</v>
      </c>
      <c r="AA18" s="39">
        <f t="shared" ref="AA18:AA25" si="10">Z18+30</f>
        <v>45960</v>
      </c>
      <c r="AB18" s="39">
        <f t="shared" ref="AB18:AB25" si="11">Z18+60</f>
        <v>45990</v>
      </c>
      <c r="AC18" s="36" t="s">
        <v>69</v>
      </c>
      <c r="AD18" s="36"/>
    </row>
    <row r="19" spans="1:30" ht="14.25" customHeight="1" x14ac:dyDescent="0.25">
      <c r="A19" s="31">
        <v>10</v>
      </c>
      <c r="B19" s="31">
        <v>5200777132</v>
      </c>
      <c r="C19" s="16">
        <f>VLOOKUP($B19,Detail!$B$4:$Q$110,2,0)</f>
        <v>45880</v>
      </c>
      <c r="D19" s="4" t="s">
        <v>50</v>
      </c>
      <c r="E19" s="6">
        <v>20</v>
      </c>
      <c r="F19" s="6"/>
      <c r="G19" s="6">
        <f>VLOOKUP($B19,Detail!$B$4:$Q$25,5,0)</f>
        <v>40457500</v>
      </c>
      <c r="H19" s="6">
        <f t="shared" si="0"/>
        <v>809150000</v>
      </c>
      <c r="I19" s="6">
        <f t="shared" ref="I19:I25" si="12">H19*50%</f>
        <v>404575000</v>
      </c>
      <c r="J19" s="6">
        <f>(I19*13%)/E19</f>
        <v>2629737.5</v>
      </c>
      <c r="K19" s="7">
        <f>I19*13%</f>
        <v>52594750</v>
      </c>
      <c r="L19" s="7"/>
      <c r="M19" s="7">
        <f t="shared" si="8"/>
        <v>52594750</v>
      </c>
      <c r="N19" s="4"/>
      <c r="O19" s="7">
        <v>0</v>
      </c>
      <c r="P19" s="4"/>
      <c r="Q19" s="4"/>
      <c r="R19" s="4"/>
      <c r="S19" s="4"/>
      <c r="T19" s="4"/>
      <c r="U19" s="7">
        <f t="shared" si="3"/>
        <v>0</v>
      </c>
      <c r="V19" s="7">
        <f t="shared" si="4"/>
        <v>20</v>
      </c>
      <c r="W19" s="6">
        <f t="shared" si="5"/>
        <v>0</v>
      </c>
      <c r="X19" s="7">
        <f t="shared" si="6"/>
        <v>52594750</v>
      </c>
      <c r="Y19" s="27">
        <v>45922</v>
      </c>
      <c r="Z19" s="27">
        <f t="shared" si="9"/>
        <v>45929</v>
      </c>
      <c r="AA19" s="27">
        <f t="shared" si="10"/>
        <v>45959</v>
      </c>
      <c r="AB19" s="27">
        <f t="shared" si="11"/>
        <v>45989</v>
      </c>
      <c r="AC19" s="4" t="s">
        <v>65</v>
      </c>
      <c r="AD19" s="4"/>
    </row>
    <row r="20" spans="1:30" s="40" customFormat="1" x14ac:dyDescent="0.25">
      <c r="A20" s="34">
        <v>11</v>
      </c>
      <c r="B20" s="34">
        <f>Detail!$B$45</f>
        <v>5200972695</v>
      </c>
      <c r="C20" s="35">
        <f>Detail!$C$45</f>
        <v>45891</v>
      </c>
      <c r="D20" s="36" t="s">
        <v>56</v>
      </c>
      <c r="E20" s="37">
        <v>8</v>
      </c>
      <c r="F20" s="37">
        <v>75000000</v>
      </c>
      <c r="G20" s="37">
        <v>100500000</v>
      </c>
      <c r="H20" s="37">
        <f t="shared" si="0"/>
        <v>804000000</v>
      </c>
      <c r="I20" s="37">
        <f t="shared" si="12"/>
        <v>402000000</v>
      </c>
      <c r="J20" s="37">
        <v>12750000</v>
      </c>
      <c r="K20" s="38">
        <f>E20*J20</f>
        <v>102000000</v>
      </c>
      <c r="L20" s="38"/>
      <c r="M20" s="38">
        <f t="shared" si="8"/>
        <v>102000000</v>
      </c>
      <c r="N20" s="36"/>
      <c r="O20" s="38">
        <v>0</v>
      </c>
      <c r="P20" s="36">
        <v>8</v>
      </c>
      <c r="Q20" s="36"/>
      <c r="R20" s="36"/>
      <c r="S20" s="36"/>
      <c r="T20" s="36" t="s">
        <v>58</v>
      </c>
      <c r="U20" s="38">
        <f t="shared" si="3"/>
        <v>8</v>
      </c>
      <c r="V20" s="38">
        <f t="shared" si="4"/>
        <v>0</v>
      </c>
      <c r="W20" s="37">
        <f t="shared" si="5"/>
        <v>102000000</v>
      </c>
      <c r="X20" s="38">
        <f t="shared" si="6"/>
        <v>0</v>
      </c>
      <c r="Y20" s="39">
        <v>45925</v>
      </c>
      <c r="Z20" s="41">
        <f t="shared" si="9"/>
        <v>45932</v>
      </c>
      <c r="AA20" s="41">
        <f t="shared" si="10"/>
        <v>45962</v>
      </c>
      <c r="AB20" s="39">
        <f t="shared" si="11"/>
        <v>45992</v>
      </c>
      <c r="AC20" s="36" t="s">
        <v>69</v>
      </c>
      <c r="AD20" s="36"/>
    </row>
    <row r="21" spans="1:30" x14ac:dyDescent="0.25">
      <c r="A21" s="34">
        <v>12</v>
      </c>
      <c r="B21" s="34">
        <f>Detail!B53</f>
        <v>5200777558</v>
      </c>
      <c r="C21" s="35">
        <v>45901</v>
      </c>
      <c r="D21" s="40" t="s">
        <v>61</v>
      </c>
      <c r="E21" s="37">
        <v>1</v>
      </c>
      <c r="F21" s="37"/>
      <c r="G21" s="37">
        <f>Detail!F53</f>
        <v>685000000</v>
      </c>
      <c r="H21" s="37">
        <f t="shared" si="0"/>
        <v>685000000</v>
      </c>
      <c r="I21" s="37">
        <f t="shared" si="12"/>
        <v>342500000</v>
      </c>
      <c r="J21" s="37">
        <f t="shared" ref="J21:J25" si="13">(I21*20%)/E21</f>
        <v>68500000</v>
      </c>
      <c r="K21" s="38">
        <f t="shared" ref="K21:K24" si="14">I21*20%</f>
        <v>68500000</v>
      </c>
      <c r="L21" s="38"/>
      <c r="M21" s="38">
        <f t="shared" si="8"/>
        <v>68500000</v>
      </c>
      <c r="N21" s="36"/>
      <c r="O21" s="38"/>
      <c r="P21" s="36">
        <v>1</v>
      </c>
      <c r="Q21" s="36"/>
      <c r="R21" s="36"/>
      <c r="S21" s="36"/>
      <c r="T21" s="36"/>
      <c r="U21" s="38">
        <f t="shared" si="3"/>
        <v>1</v>
      </c>
      <c r="V21" s="38">
        <f t="shared" si="4"/>
        <v>0</v>
      </c>
      <c r="W21" s="37">
        <f t="shared" si="5"/>
        <v>68500000</v>
      </c>
      <c r="X21" s="38">
        <f t="shared" si="6"/>
        <v>0</v>
      </c>
      <c r="Y21" s="39">
        <v>45923</v>
      </c>
      <c r="Z21" s="41">
        <f t="shared" si="9"/>
        <v>45930</v>
      </c>
      <c r="AA21" s="41">
        <f t="shared" si="10"/>
        <v>45960</v>
      </c>
      <c r="AB21" s="39">
        <f t="shared" si="11"/>
        <v>45990</v>
      </c>
      <c r="AC21" s="36" t="s">
        <v>69</v>
      </c>
      <c r="AD21" s="36"/>
    </row>
    <row r="22" spans="1:30" x14ac:dyDescent="0.25">
      <c r="A22" s="34">
        <v>13</v>
      </c>
      <c r="B22" s="34">
        <f>Detail!B54</f>
        <v>5200777559</v>
      </c>
      <c r="C22" s="35">
        <v>45901</v>
      </c>
      <c r="D22" s="36" t="s">
        <v>3</v>
      </c>
      <c r="E22" s="37">
        <v>2</v>
      </c>
      <c r="F22" s="37"/>
      <c r="G22" s="37">
        <f>Detail!F54</f>
        <v>225000000</v>
      </c>
      <c r="H22" s="37">
        <f t="shared" si="0"/>
        <v>450000000</v>
      </c>
      <c r="I22" s="37">
        <f t="shared" si="12"/>
        <v>225000000</v>
      </c>
      <c r="J22" s="37">
        <f t="shared" si="13"/>
        <v>22500000</v>
      </c>
      <c r="K22" s="38">
        <f t="shared" si="14"/>
        <v>45000000</v>
      </c>
      <c r="L22" s="38"/>
      <c r="M22" s="38">
        <f t="shared" si="8"/>
        <v>45000000</v>
      </c>
      <c r="N22" s="36"/>
      <c r="O22" s="38"/>
      <c r="P22" s="36">
        <v>2</v>
      </c>
      <c r="Q22" s="36"/>
      <c r="R22" s="36"/>
      <c r="S22" s="36"/>
      <c r="T22" s="36"/>
      <c r="U22" s="38">
        <f t="shared" si="3"/>
        <v>2</v>
      </c>
      <c r="V22" s="38">
        <f t="shared" si="4"/>
        <v>0</v>
      </c>
      <c r="W22" s="37">
        <f t="shared" si="5"/>
        <v>45000000</v>
      </c>
      <c r="X22" s="38">
        <f t="shared" si="6"/>
        <v>0</v>
      </c>
      <c r="Y22" s="41">
        <v>45925</v>
      </c>
      <c r="Z22" s="41">
        <f t="shared" si="9"/>
        <v>45932</v>
      </c>
      <c r="AA22" s="41">
        <f t="shared" si="10"/>
        <v>45962</v>
      </c>
      <c r="AB22" s="39">
        <f t="shared" si="11"/>
        <v>45992</v>
      </c>
      <c r="AC22" s="36" t="s">
        <v>69</v>
      </c>
      <c r="AD22" s="37"/>
    </row>
    <row r="23" spans="1:30" s="40" customFormat="1" x14ac:dyDescent="0.25">
      <c r="A23" s="34">
        <v>14</v>
      </c>
      <c r="B23" s="34">
        <f>Detail!$B$56</f>
        <v>5200777758</v>
      </c>
      <c r="C23" s="35">
        <v>45909</v>
      </c>
      <c r="D23" s="36" t="s">
        <v>64</v>
      </c>
      <c r="E23" s="37">
        <v>1</v>
      </c>
      <c r="F23" s="37"/>
      <c r="G23" s="37">
        <f>Detail!F56</f>
        <v>2231048200</v>
      </c>
      <c r="H23" s="37">
        <f t="shared" si="0"/>
        <v>2231048200</v>
      </c>
      <c r="I23" s="37">
        <f t="shared" si="12"/>
        <v>1115524100</v>
      </c>
      <c r="J23" s="37">
        <f t="shared" si="13"/>
        <v>223104820</v>
      </c>
      <c r="K23" s="38">
        <f t="shared" si="14"/>
        <v>223104820</v>
      </c>
      <c r="L23" s="38"/>
      <c r="M23" s="38">
        <f t="shared" si="8"/>
        <v>223104820</v>
      </c>
      <c r="N23" s="36"/>
      <c r="O23" s="38"/>
      <c r="P23" s="36">
        <v>1</v>
      </c>
      <c r="Q23" s="36"/>
      <c r="R23" s="36"/>
      <c r="S23" s="36"/>
      <c r="T23" s="36"/>
      <c r="U23" s="38">
        <f t="shared" si="3"/>
        <v>1</v>
      </c>
      <c r="V23" s="38">
        <f t="shared" si="4"/>
        <v>0</v>
      </c>
      <c r="W23" s="37">
        <f t="shared" si="5"/>
        <v>223104820</v>
      </c>
      <c r="X23" s="38">
        <f t="shared" si="6"/>
        <v>0</v>
      </c>
      <c r="Y23" s="41">
        <v>45930</v>
      </c>
      <c r="Z23" s="41">
        <f t="shared" si="9"/>
        <v>45937</v>
      </c>
      <c r="AA23" s="41">
        <f t="shared" si="10"/>
        <v>45967</v>
      </c>
      <c r="AB23" s="39">
        <f t="shared" si="11"/>
        <v>45997</v>
      </c>
      <c r="AC23" s="36" t="s">
        <v>69</v>
      </c>
      <c r="AD23" s="36"/>
    </row>
    <row r="24" spans="1:30" s="40" customFormat="1" x14ac:dyDescent="0.25">
      <c r="A24" s="34">
        <v>15</v>
      </c>
      <c r="B24" s="34">
        <f>Detail!$B$58</f>
        <v>5200778319</v>
      </c>
      <c r="C24" s="35">
        <v>45909</v>
      </c>
      <c r="D24" s="36" t="str">
        <f>Detail!$D$58</f>
        <v>Top Frame 800</v>
      </c>
      <c r="E24" s="37">
        <v>2</v>
      </c>
      <c r="F24" s="37"/>
      <c r="G24" s="37">
        <f>Detail!$F$58</f>
        <v>225000000</v>
      </c>
      <c r="H24" s="37">
        <f t="shared" si="0"/>
        <v>450000000</v>
      </c>
      <c r="I24" s="37">
        <f t="shared" si="12"/>
        <v>225000000</v>
      </c>
      <c r="J24" s="37">
        <f t="shared" si="13"/>
        <v>22500000</v>
      </c>
      <c r="K24" s="38">
        <f t="shared" si="14"/>
        <v>45000000</v>
      </c>
      <c r="L24" s="38"/>
      <c r="M24" s="38">
        <f t="shared" si="8"/>
        <v>45000000</v>
      </c>
      <c r="N24" s="36"/>
      <c r="O24" s="38"/>
      <c r="P24" s="36">
        <v>2</v>
      </c>
      <c r="Q24" s="36"/>
      <c r="R24" s="36"/>
      <c r="S24" s="36"/>
      <c r="T24" s="36"/>
      <c r="U24" s="38">
        <f t="shared" si="3"/>
        <v>2</v>
      </c>
      <c r="V24" s="38">
        <f t="shared" si="4"/>
        <v>0</v>
      </c>
      <c r="W24" s="37">
        <f t="shared" si="5"/>
        <v>45000000</v>
      </c>
      <c r="X24" s="38">
        <f t="shared" si="6"/>
        <v>0</v>
      </c>
      <c r="Y24" s="41">
        <v>45940</v>
      </c>
      <c r="Z24" s="41">
        <f t="shared" si="9"/>
        <v>45947</v>
      </c>
      <c r="AA24" s="41">
        <f t="shared" si="10"/>
        <v>45977</v>
      </c>
      <c r="AB24" s="39">
        <f t="shared" si="11"/>
        <v>46007</v>
      </c>
      <c r="AC24" s="36" t="s">
        <v>69</v>
      </c>
      <c r="AD24" s="36"/>
    </row>
    <row r="25" spans="1:30" s="40" customFormat="1" x14ac:dyDescent="0.25">
      <c r="A25" s="34">
        <v>16</v>
      </c>
      <c r="B25" s="34">
        <v>5200778328</v>
      </c>
      <c r="C25" s="35">
        <v>45915</v>
      </c>
      <c r="D25" s="36" t="s">
        <v>61</v>
      </c>
      <c r="E25" s="37">
        <v>1</v>
      </c>
      <c r="F25" s="37"/>
      <c r="G25" s="37">
        <f>Detail!F59</f>
        <v>685000000</v>
      </c>
      <c r="H25" s="37">
        <f t="shared" si="0"/>
        <v>685000000</v>
      </c>
      <c r="I25" s="37">
        <f t="shared" si="12"/>
        <v>342500000</v>
      </c>
      <c r="J25" s="37">
        <f t="shared" si="13"/>
        <v>68500000</v>
      </c>
      <c r="K25" s="38">
        <f>(I25*20%)+F25</f>
        <v>68500000</v>
      </c>
      <c r="L25" s="38">
        <v>66261000</v>
      </c>
      <c r="M25" s="38">
        <f t="shared" si="8"/>
        <v>134761000</v>
      </c>
      <c r="N25" s="36"/>
      <c r="O25" s="38"/>
      <c r="P25" s="36">
        <v>1</v>
      </c>
      <c r="Q25" s="36"/>
      <c r="R25" s="36"/>
      <c r="S25" s="36"/>
      <c r="T25" s="36"/>
      <c r="U25" s="38">
        <f t="shared" si="3"/>
        <v>1</v>
      </c>
      <c r="V25" s="38">
        <f t="shared" si="4"/>
        <v>0</v>
      </c>
      <c r="W25" s="37">
        <f>J25*U25+L25</f>
        <v>134761000</v>
      </c>
      <c r="X25" s="38">
        <f>K25+L25-W25</f>
        <v>0</v>
      </c>
      <c r="Y25" s="41">
        <v>45940</v>
      </c>
      <c r="Z25" s="41">
        <f t="shared" si="9"/>
        <v>45947</v>
      </c>
      <c r="AA25" s="41">
        <f t="shared" si="10"/>
        <v>45977</v>
      </c>
      <c r="AB25" s="39">
        <f t="shared" si="11"/>
        <v>46007</v>
      </c>
      <c r="AC25" s="36" t="s">
        <v>69</v>
      </c>
      <c r="AD25" s="36"/>
    </row>
    <row r="26" spans="1:30" ht="15.75" thickBot="1" x14ac:dyDescent="0.3">
      <c r="C26" s="15"/>
      <c r="D26" s="15"/>
      <c r="E26" s="17"/>
      <c r="F26" s="17"/>
      <c r="G26" s="17"/>
      <c r="H26" s="17"/>
      <c r="I26" s="17"/>
      <c r="J26" s="17"/>
      <c r="K26" s="2"/>
      <c r="L26" s="2"/>
      <c r="M26" s="2"/>
      <c r="O26" s="2"/>
      <c r="U26" s="2"/>
      <c r="V26" s="2"/>
      <c r="W26" s="17"/>
      <c r="X26" s="2"/>
      <c r="Y26" s="2"/>
    </row>
    <row r="27" spans="1:30" ht="15.75" thickBot="1" x14ac:dyDescent="0.3">
      <c r="B27" s="32" t="s">
        <v>51</v>
      </c>
      <c r="C27" s="18"/>
      <c r="D27" s="18"/>
      <c r="E27" s="18"/>
      <c r="F27" s="18"/>
      <c r="G27" s="18"/>
      <c r="H27" s="18"/>
      <c r="I27" s="19">
        <f>SUM(I10:I26)</f>
        <v>5881698600</v>
      </c>
      <c r="J27" s="18"/>
      <c r="K27" s="19">
        <f>SUM(K10:K26)</f>
        <v>1169619470</v>
      </c>
      <c r="L27" s="19">
        <f>SUM(L10:L26)</f>
        <v>66261000</v>
      </c>
      <c r="M27" s="19">
        <f>SUM(M10:M26)</f>
        <v>1235880470</v>
      </c>
      <c r="N27" s="18"/>
      <c r="O27" s="18"/>
      <c r="P27" s="18"/>
      <c r="Q27" s="18"/>
      <c r="R27" s="18"/>
      <c r="S27" s="18"/>
      <c r="T27" s="18"/>
      <c r="U27" s="18"/>
      <c r="V27" s="18"/>
      <c r="W27" s="19">
        <f>SUM(W10:W25)</f>
        <v>1183285720</v>
      </c>
      <c r="X27" s="19">
        <f>SUM(X10:X25)</f>
        <v>52594750</v>
      </c>
      <c r="Y27" s="24"/>
    </row>
    <row r="28" spans="1:30" x14ac:dyDescent="0.25">
      <c r="E28" s="9"/>
      <c r="F28" s="9"/>
      <c r="G28" s="9"/>
      <c r="H28" s="9"/>
      <c r="I28" s="9"/>
      <c r="J28" s="9"/>
      <c r="K28" s="9"/>
      <c r="L28" s="9"/>
      <c r="M28" s="9"/>
      <c r="X28" s="2">
        <f>W27+X27-H40</f>
        <v>0</v>
      </c>
    </row>
    <row r="29" spans="1:30" x14ac:dyDescent="0.25">
      <c r="E29" s="9" t="s">
        <v>36</v>
      </c>
      <c r="F29" s="9"/>
      <c r="G29" s="9" t="s">
        <v>37</v>
      </c>
      <c r="H29" s="9" t="s">
        <v>38</v>
      </c>
      <c r="I29" s="9" t="s">
        <v>39</v>
      </c>
      <c r="J29" s="9" t="s">
        <v>40</v>
      </c>
      <c r="K29" s="9" t="s">
        <v>41</v>
      </c>
      <c r="L29" s="9"/>
      <c r="M29" s="9"/>
    </row>
    <row r="30" spans="1:30" ht="30" x14ac:dyDescent="0.25">
      <c r="E30" s="10" t="s">
        <v>32</v>
      </c>
      <c r="F30" s="11" t="s">
        <v>46</v>
      </c>
      <c r="G30" s="10" t="s">
        <v>8</v>
      </c>
      <c r="H30" s="11" t="s">
        <v>71</v>
      </c>
      <c r="I30" s="12" t="s">
        <v>42</v>
      </c>
      <c r="J30" s="12" t="s">
        <v>35</v>
      </c>
      <c r="K30" s="13" t="s">
        <v>30</v>
      </c>
      <c r="L30" s="33"/>
      <c r="M30" s="33"/>
    </row>
    <row r="31" spans="1:30" x14ac:dyDescent="0.25">
      <c r="E31" s="5">
        <v>45839</v>
      </c>
      <c r="F31" s="7">
        <f>SUM(I10:I12)</f>
        <v>900000000</v>
      </c>
      <c r="G31" s="7">
        <f>SUM(W10:W12)</f>
        <v>180000000</v>
      </c>
      <c r="H31" s="6"/>
      <c r="I31" s="6"/>
      <c r="J31" s="6"/>
      <c r="K31" s="7">
        <f>F31+G31</f>
        <v>1080000000</v>
      </c>
      <c r="L31" s="2"/>
      <c r="M31" s="2"/>
    </row>
    <row r="32" spans="1:30" x14ac:dyDescent="0.25">
      <c r="E32" s="5">
        <v>45870</v>
      </c>
      <c r="F32" s="7">
        <f>SUM(I13:I16)</f>
        <v>1125000000</v>
      </c>
      <c r="G32" s="7">
        <f>SUM(W13:W16)</f>
        <v>225000000</v>
      </c>
      <c r="H32" s="7"/>
      <c r="I32" s="7">
        <f>SUM(I17:I20)</f>
        <v>1606174500</v>
      </c>
      <c r="J32" s="7"/>
      <c r="K32" s="7">
        <f>K31+F32+G32+H32-I32-J32</f>
        <v>823825500</v>
      </c>
      <c r="L32" s="2"/>
      <c r="M32" s="2"/>
    </row>
    <row r="33" spans="2:22" x14ac:dyDescent="0.25">
      <c r="E33" s="5">
        <v>45901</v>
      </c>
      <c r="F33" s="7">
        <v>1426698600</v>
      </c>
      <c r="H33" s="7"/>
      <c r="I33" s="7">
        <f>SUM(I21:I25)</f>
        <v>2250524100</v>
      </c>
      <c r="J33" s="7"/>
      <c r="K33" s="7">
        <f t="shared" ref="K33:K36" si="15">K32+F33+G33+H33-I33-J33</f>
        <v>0</v>
      </c>
      <c r="L33" s="2"/>
      <c r="M33" s="2"/>
    </row>
    <row r="34" spans="2:22" x14ac:dyDescent="0.25">
      <c r="E34" s="5">
        <v>45931</v>
      </c>
      <c r="F34" s="7"/>
      <c r="G34" s="7">
        <f>SUM(W17:X25)</f>
        <v>830880470</v>
      </c>
      <c r="H34" s="7"/>
      <c r="I34" s="7">
        <f>-I32-I33</f>
        <v>-3856698600</v>
      </c>
      <c r="J34" s="7"/>
      <c r="K34" s="7">
        <f t="shared" si="15"/>
        <v>4687579070</v>
      </c>
      <c r="L34" s="2"/>
      <c r="M34" s="2"/>
    </row>
    <row r="35" spans="2:22" x14ac:dyDescent="0.25">
      <c r="E35" s="5">
        <v>45962</v>
      </c>
      <c r="F35" s="7"/>
      <c r="G35" s="7"/>
      <c r="H35" s="7"/>
      <c r="I35" s="7"/>
      <c r="J35" s="7"/>
      <c r="K35" s="7">
        <f t="shared" si="15"/>
        <v>4687579070</v>
      </c>
      <c r="L35" s="2"/>
      <c r="M35" s="2"/>
    </row>
    <row r="36" spans="2:22" x14ac:dyDescent="0.25">
      <c r="E36" s="5">
        <v>45992</v>
      </c>
      <c r="F36" s="7"/>
      <c r="G36" s="7"/>
      <c r="H36" s="7"/>
      <c r="I36" s="7"/>
      <c r="J36" s="7"/>
      <c r="K36" s="7">
        <f t="shared" si="15"/>
        <v>4687579070</v>
      </c>
      <c r="L36" s="2"/>
      <c r="M36" s="2"/>
    </row>
    <row r="37" spans="2:22" x14ac:dyDescent="0.25">
      <c r="E37" s="4"/>
      <c r="F37" s="8">
        <f>SUM(F31:F36)</f>
        <v>3451698600</v>
      </c>
      <c r="G37" s="8">
        <f>SUM(G31:G36)</f>
        <v>1235880470</v>
      </c>
      <c r="H37" s="8">
        <f t="shared" ref="H37:I37" si="16">SUM(H31:H36)</f>
        <v>0</v>
      </c>
      <c r="I37" s="8">
        <f t="shared" si="16"/>
        <v>0</v>
      </c>
      <c r="J37" s="8"/>
      <c r="K37" s="8">
        <f>F37+G37+H37-I37</f>
        <v>4687579070</v>
      </c>
      <c r="L37" s="24"/>
      <c r="M37" s="24"/>
    </row>
    <row r="38" spans="2:22" x14ac:dyDescent="0.25">
      <c r="C38" s="2"/>
      <c r="D38" s="2"/>
      <c r="E38" s="2"/>
      <c r="F38" s="2"/>
      <c r="G38" s="2"/>
      <c r="H38" s="2"/>
    </row>
    <row r="39" spans="2:22" x14ac:dyDescent="0.25">
      <c r="E39" s="14" t="s">
        <v>83</v>
      </c>
      <c r="F39" s="14"/>
      <c r="G39" s="14"/>
      <c r="H39" s="8">
        <f>F37</f>
        <v>3451698600</v>
      </c>
      <c r="I39" t="s">
        <v>36</v>
      </c>
    </row>
    <row r="40" spans="2:22" x14ac:dyDescent="0.25">
      <c r="E40" s="14" t="s">
        <v>8</v>
      </c>
      <c r="F40" s="14"/>
      <c r="G40" s="14"/>
      <c r="H40" s="8">
        <f>W27+X27</f>
        <v>1235880470</v>
      </c>
      <c r="I40" t="s">
        <v>37</v>
      </c>
    </row>
    <row r="41" spans="2:22" x14ac:dyDescent="0.25">
      <c r="E41" s="14"/>
      <c r="F41" s="14"/>
      <c r="G41" s="14"/>
      <c r="H41" s="8"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2:22" x14ac:dyDescent="0.25">
      <c r="E42" s="14" t="s">
        <v>30</v>
      </c>
      <c r="F42" s="14"/>
      <c r="G42" s="14"/>
      <c r="H42" s="8">
        <f>SUM(H39:H41)</f>
        <v>4687579070</v>
      </c>
      <c r="I42" t="s">
        <v>86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2:22" x14ac:dyDescent="0.25">
      <c r="E43" s="14" t="s">
        <v>84</v>
      </c>
      <c r="F43" s="4"/>
      <c r="G43" s="4"/>
      <c r="H43" s="77">
        <v>-3000000000</v>
      </c>
      <c r="I43" t="s">
        <v>39</v>
      </c>
      <c r="U43" s="2"/>
    </row>
    <row r="44" spans="2:22" x14ac:dyDescent="0.25">
      <c r="B44" s="29" t="s">
        <v>73</v>
      </c>
      <c r="C44" s="1">
        <f>G37</f>
        <v>1235880470</v>
      </c>
      <c r="E44" s="14" t="s">
        <v>85</v>
      </c>
      <c r="F44" s="4"/>
      <c r="G44" s="4"/>
      <c r="H44" s="77">
        <f>H42+H43</f>
        <v>1687579070</v>
      </c>
      <c r="I44" t="s">
        <v>87</v>
      </c>
      <c r="U44" s="24"/>
    </row>
    <row r="45" spans="2:22" x14ac:dyDescent="0.25">
      <c r="B45" s="29" t="s">
        <v>74</v>
      </c>
      <c r="C45" s="1">
        <f>SUM(W17:X25)</f>
        <v>830880470</v>
      </c>
      <c r="U45" s="2"/>
    </row>
    <row r="46" spans="2:22" x14ac:dyDescent="0.25">
      <c r="B46" s="28" t="s">
        <v>72</v>
      </c>
      <c r="C46" s="48">
        <f>SUM(C44:C45)</f>
        <v>2066760940</v>
      </c>
      <c r="U46" s="2"/>
    </row>
    <row r="47" spans="2:22" x14ac:dyDescent="0.25">
      <c r="B47" s="29" t="s">
        <v>75</v>
      </c>
      <c r="C47" s="1">
        <v>-300000000</v>
      </c>
      <c r="U47" s="24"/>
      <c r="V47" s="2"/>
    </row>
    <row r="48" spans="2:22" x14ac:dyDescent="0.25">
      <c r="B48" s="28" t="s">
        <v>76</v>
      </c>
      <c r="C48" s="24">
        <f>C46+C47</f>
        <v>1766760940</v>
      </c>
    </row>
    <row r="50" spans="2:3" x14ac:dyDescent="0.25">
      <c r="B50" s="29" t="s">
        <v>77</v>
      </c>
      <c r="C50" s="2">
        <f>C48-C44</f>
        <v>530880470</v>
      </c>
    </row>
  </sheetData>
  <autoFilter ref="A8:AD25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4">
    <mergeCell ref="AD8:AD9"/>
    <mergeCell ref="M8:M9"/>
    <mergeCell ref="N8:S8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L8:L9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58C9-72C7-46D8-940C-787DA213AEC2}">
  <sheetPr>
    <tabColor rgb="FF00B0F0"/>
  </sheetPr>
  <dimension ref="A1:AI66"/>
  <sheetViews>
    <sheetView showGridLines="0" zoomScale="85" zoomScaleNormal="85" workbookViewId="0">
      <pane xSplit="5" ySplit="11" topLeftCell="F44" activePane="bottomRight" state="frozen"/>
      <selection activeCell="N13" sqref="N13"/>
      <selection pane="topRight" activeCell="N13" sqref="N13"/>
      <selection pane="bottomLeft" activeCell="N13" sqref="N13"/>
      <selection pane="bottomRight" activeCell="I49" sqref="I49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20.71093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16.28515625" customWidth="1"/>
    <col min="10" max="10" width="15.2851562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27" t="s">
        <v>23</v>
      </c>
      <c r="O10" s="327"/>
      <c r="P10" s="327"/>
      <c r="Q10" s="327"/>
      <c r="R10" s="327"/>
      <c r="S10" s="327"/>
      <c r="T10" s="25"/>
      <c r="U10" s="328" t="s">
        <v>52</v>
      </c>
      <c r="V10" s="328" t="s">
        <v>34</v>
      </c>
      <c r="W10" s="331" t="s">
        <v>8</v>
      </c>
      <c r="X10" s="328" t="s">
        <v>31</v>
      </c>
      <c r="Y10" s="333" t="s">
        <v>54</v>
      </c>
      <c r="Z10" s="331" t="s">
        <v>53</v>
      </c>
      <c r="AA10" s="333" t="s">
        <v>80</v>
      </c>
      <c r="AB10" s="333" t="s">
        <v>82</v>
      </c>
      <c r="AC10" s="325" t="s">
        <v>62</v>
      </c>
      <c r="AD10" s="325" t="s">
        <v>66</v>
      </c>
      <c r="AF10" s="320" t="s">
        <v>109</v>
      </c>
      <c r="AG10" s="335" t="s">
        <v>127</v>
      </c>
      <c r="AH10" s="320" t="s">
        <v>110</v>
      </c>
    </row>
    <row r="11" spans="1:34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29"/>
      <c r="V11" s="330"/>
      <c r="W11" s="332"/>
      <c r="X11" s="330"/>
      <c r="Y11" s="334"/>
      <c r="Z11" s="332"/>
      <c r="AA11" s="334"/>
      <c r="AB11" s="334"/>
      <c r="AC11" s="325"/>
      <c r="AD11" s="325" t="s">
        <v>66</v>
      </c>
      <c r="AF11" s="320"/>
      <c r="AG11" s="335"/>
      <c r="AH11" s="320"/>
    </row>
    <row r="12" spans="1:34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SUMIF(Detail!$B$4:$B$21,'Asumsi Summary V.4 (3)'!$B12,Detail!$E$4:$E$21)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SUMIF(Detail!$B$4:$B$21,'Asumsi Summary V.4 (3)'!B12,Detail!$H$4:$H$21)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6">
        <f t="shared" ref="U12:U40" si="3">SUM(N12:S12)</f>
        <v>2</v>
      </c>
      <c r="V12" s="56">
        <f t="shared" ref="V12:V27" si="4">E12-U12</f>
        <v>0</v>
      </c>
      <c r="W12" s="55">
        <f t="shared" ref="W12:W26" si="5">J12*U12</f>
        <v>45000000</v>
      </c>
      <c r="X12" s="56">
        <f t="shared" ref="X12:X26" si="6">K12-W12</f>
        <v>0</v>
      </c>
      <c r="Y12" s="58">
        <v>45861</v>
      </c>
      <c r="Z12" s="58">
        <v>45863</v>
      </c>
      <c r="AA12" s="58">
        <v>45894</v>
      </c>
      <c r="AB12" s="58"/>
      <c r="AC12" s="53" t="s">
        <v>63</v>
      </c>
      <c r="AD12" s="53"/>
      <c r="AF12" s="183">
        <f>VLOOKUP(B12,investasi!$B$5:$G$18,6,0)</f>
        <v>45000000</v>
      </c>
      <c r="AG12" s="184">
        <f>M12</f>
        <v>45000000</v>
      </c>
      <c r="AH12" s="184">
        <f>AF12-AG12</f>
        <v>0</v>
      </c>
    </row>
    <row r="13" spans="1:34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SUMIF(Detail!$B$4:$B$21,'Asumsi Summary V.4 (3)'!$B13,Detail!$E$4:$E$21)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SUMIF(Detail!$B$4:$B$21,'Asumsi Summary V.4 (3)'!B13,Detail!$H$4:$H$21)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6">
        <f t="shared" si="3"/>
        <v>3</v>
      </c>
      <c r="V13" s="56">
        <f t="shared" si="4"/>
        <v>0</v>
      </c>
      <c r="W13" s="55">
        <f t="shared" si="5"/>
        <v>67500000</v>
      </c>
      <c r="X13" s="56">
        <f t="shared" si="6"/>
        <v>0</v>
      </c>
      <c r="Y13" s="58">
        <v>45861</v>
      </c>
      <c r="Z13" s="58">
        <v>45863</v>
      </c>
      <c r="AA13" s="58">
        <v>45894</v>
      </c>
      <c r="AB13" s="58"/>
      <c r="AC13" s="53" t="s">
        <v>63</v>
      </c>
      <c r="AD13" s="53"/>
      <c r="AF13" s="183">
        <f>VLOOKUP(B13,investasi!$B$5:$G$18,6,0)</f>
        <v>67500000</v>
      </c>
      <c r="AG13" s="184">
        <f t="shared" ref="AG13:AG29" si="8">M13</f>
        <v>67500000</v>
      </c>
      <c r="AH13" s="184">
        <f t="shared" ref="AH13:AH29" si="9">AF13-AG13</f>
        <v>0</v>
      </c>
    </row>
    <row r="14" spans="1:34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SUMIF(Detail!$B$4:$B$21,'Asumsi Summary V.4 (3)'!$B14,Detail!$E$4:$E$21)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SUMIF(Detail!$B$4:$B$21,'Asumsi Summary V.4 (3)'!B14,Detail!$H$4:$H$21)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6">
        <f t="shared" si="3"/>
        <v>3</v>
      </c>
      <c r="V14" s="56">
        <f t="shared" si="4"/>
        <v>0</v>
      </c>
      <c r="W14" s="55">
        <f t="shared" si="5"/>
        <v>67500000</v>
      </c>
      <c r="X14" s="56">
        <f t="shared" si="6"/>
        <v>0</v>
      </c>
      <c r="Y14" s="58">
        <v>45861</v>
      </c>
      <c r="Z14" s="58">
        <v>45863</v>
      </c>
      <c r="AA14" s="58">
        <v>45894</v>
      </c>
      <c r="AB14" s="58"/>
      <c r="AC14" s="53" t="s">
        <v>63</v>
      </c>
      <c r="AD14" s="53"/>
      <c r="AF14" s="183">
        <f>VLOOKUP(B14,investasi!$B$5:$G$18,6,0)</f>
        <v>67500000</v>
      </c>
      <c r="AG14" s="184">
        <f t="shared" si="8"/>
        <v>67500000</v>
      </c>
      <c r="AH14" s="184">
        <f t="shared" si="9"/>
        <v>0</v>
      </c>
    </row>
    <row r="15" spans="1:34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SUMIF(Detail!$B$4:$B$21,'Asumsi Summary V.4 (3)'!$B15,Detail!$E$4:$E$21)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SUMIF(Detail!$B$4:$B$21,'Asumsi Summary V.4 (3)'!B15,Detail!$H$4:$H$21)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6">
        <f t="shared" si="3"/>
        <v>3</v>
      </c>
      <c r="V15" s="56">
        <f t="shared" si="4"/>
        <v>0</v>
      </c>
      <c r="W15" s="55">
        <f t="shared" si="5"/>
        <v>67500000</v>
      </c>
      <c r="X15" s="56">
        <f t="shared" si="6"/>
        <v>0</v>
      </c>
      <c r="Y15" s="58">
        <v>45868</v>
      </c>
      <c r="Z15" s="58">
        <v>45873</v>
      </c>
      <c r="AA15" s="58">
        <v>45904</v>
      </c>
      <c r="AB15" s="58"/>
      <c r="AC15" s="53" t="s">
        <v>63</v>
      </c>
      <c r="AD15" s="53"/>
      <c r="AF15" s="183">
        <f>VLOOKUP(B15,investasi!$B$5:$G$18,6,0)</f>
        <v>67500000</v>
      </c>
      <c r="AG15" s="184">
        <f t="shared" si="8"/>
        <v>67500000</v>
      </c>
      <c r="AH15" s="184">
        <f t="shared" si="9"/>
        <v>0</v>
      </c>
    </row>
    <row r="16" spans="1:34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SUMIF(Detail!$B$4:$B$21,'Asumsi Summary V.4 (3)'!$B16,Detail!$E$4:$E$21)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SUMIF(Detail!$B$4:$B$21,'Asumsi Summary V.4 (3)'!B16,Detail!$H$4:$H$21)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6">
        <f t="shared" si="3"/>
        <v>3</v>
      </c>
      <c r="V16" s="56">
        <f t="shared" si="4"/>
        <v>0</v>
      </c>
      <c r="W16" s="55">
        <f t="shared" si="5"/>
        <v>67500000</v>
      </c>
      <c r="X16" s="56">
        <f t="shared" si="6"/>
        <v>0</v>
      </c>
      <c r="Y16" s="58">
        <v>45868</v>
      </c>
      <c r="Z16" s="58">
        <v>45873</v>
      </c>
      <c r="AA16" s="58">
        <v>45904</v>
      </c>
      <c r="AB16" s="58"/>
      <c r="AC16" s="53" t="s">
        <v>63</v>
      </c>
      <c r="AD16" s="53"/>
      <c r="AF16" s="183">
        <f>VLOOKUP(B16,investasi!$B$5:$G$18,6,0)</f>
        <v>67500000</v>
      </c>
      <c r="AG16" s="184">
        <f t="shared" si="8"/>
        <v>67500000</v>
      </c>
      <c r="AH16" s="184">
        <f t="shared" si="9"/>
        <v>0</v>
      </c>
    </row>
    <row r="17" spans="1:35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SUMIF(Detail!$B$4:$B$21,'Asumsi Summary V.4 (3)'!$B17,Detail!$E$4:$E$21)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SUMIF(Detail!$B$4:$B$21,'Asumsi Summary V.4 (3)'!B17,Detail!$H$4:$H$21)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6">
        <f t="shared" si="3"/>
        <v>2</v>
      </c>
      <c r="V17" s="56">
        <f t="shared" si="4"/>
        <v>0</v>
      </c>
      <c r="W17" s="55">
        <f t="shared" si="5"/>
        <v>45000000</v>
      </c>
      <c r="X17" s="56">
        <f t="shared" si="6"/>
        <v>0</v>
      </c>
      <c r="Y17" s="58">
        <v>45868</v>
      </c>
      <c r="Z17" s="58">
        <v>45873</v>
      </c>
      <c r="AA17" s="58">
        <v>45904</v>
      </c>
      <c r="AB17" s="58"/>
      <c r="AC17" s="53" t="s">
        <v>63</v>
      </c>
      <c r="AD17" s="53"/>
      <c r="AF17" s="183">
        <f>VLOOKUP(B17,investasi!$B$5:$G$18,6,0)</f>
        <v>45000000</v>
      </c>
      <c r="AG17" s="184">
        <f t="shared" si="8"/>
        <v>45000000</v>
      </c>
      <c r="AH17" s="184">
        <f t="shared" si="9"/>
        <v>0</v>
      </c>
    </row>
    <row r="18" spans="1:35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SUMIF(Detail!$B$4:$B$21,'Asumsi Summary V.4 (3)'!$B18,Detail!$E$4:$E$21)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SUMIF(Detail!$B$4:$B$21,'Asumsi Summary V.4 (3)'!B18,Detail!$H$4:$H$21)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6">
        <f t="shared" si="3"/>
        <v>2</v>
      </c>
      <c r="V18" s="56">
        <f t="shared" si="4"/>
        <v>0</v>
      </c>
      <c r="W18" s="55">
        <f t="shared" si="5"/>
        <v>45000000</v>
      </c>
      <c r="X18" s="56">
        <f t="shared" si="6"/>
        <v>0</v>
      </c>
      <c r="Y18" s="58">
        <v>45868</v>
      </c>
      <c r="Z18" s="58">
        <v>45873</v>
      </c>
      <c r="AA18" s="58">
        <v>45904</v>
      </c>
      <c r="AB18" s="58"/>
      <c r="AC18" s="53" t="s">
        <v>63</v>
      </c>
      <c r="AD18" s="53"/>
      <c r="AF18" s="183">
        <f>VLOOKUP(B18,investasi!$B$5:$G$18,6,0)</f>
        <v>45000000</v>
      </c>
      <c r="AG18" s="184">
        <f t="shared" si="8"/>
        <v>45000000</v>
      </c>
      <c r="AH18" s="184">
        <f t="shared" si="9"/>
        <v>0</v>
      </c>
    </row>
    <row r="19" spans="1:35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SUMIF(Detail!$B$4:$B$25,'Asumsi Summary V.4 (3)'!$B19,Detail!$E$4:$E$25)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SUMIF(Detail!$B$4:$B$25,'Asumsi Summary V.4 (3)'!B19,Detail!$H$4:$H$25)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6">
        <f t="shared" si="3"/>
        <v>1</v>
      </c>
      <c r="V19" s="56">
        <f t="shared" si="4"/>
        <v>0</v>
      </c>
      <c r="W19" s="55">
        <f t="shared" si="5"/>
        <v>114919900</v>
      </c>
      <c r="X19" s="56">
        <f t="shared" si="6"/>
        <v>0</v>
      </c>
      <c r="Y19" s="58">
        <v>45930</v>
      </c>
      <c r="Z19" s="58">
        <f>Y19+7</f>
        <v>45937</v>
      </c>
      <c r="AA19" s="58">
        <f>Z19+30</f>
        <v>45967</v>
      </c>
      <c r="AB19" s="58">
        <f>Z19+60</f>
        <v>45997</v>
      </c>
      <c r="AC19" s="53" t="s">
        <v>63</v>
      </c>
      <c r="AD19" s="53"/>
      <c r="AF19" s="183">
        <f>VLOOKUP(B19,investasi!$B$5:$G$18,6,0)</f>
        <v>57248700</v>
      </c>
      <c r="AG19" s="184">
        <f t="shared" si="8"/>
        <v>114919900</v>
      </c>
      <c r="AH19" s="184">
        <f t="shared" si="9"/>
        <v>-57671200</v>
      </c>
      <c r="AI19" s="59" t="s">
        <v>128</v>
      </c>
    </row>
    <row r="20" spans="1:35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SUMIF(Detail!$B$4:$B$25,'Asumsi Summary V.4 (3)'!$B20,Detail!$E$4:$E$25)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SUMIF(Detail!$B$4:$B$25,'Asumsi Summary V.4 (3)'!B20,Detail!$H$4:$H$25)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6">
        <f t="shared" si="3"/>
        <v>2</v>
      </c>
      <c r="V20" s="56">
        <f t="shared" si="4"/>
        <v>0</v>
      </c>
      <c r="W20" s="55">
        <f t="shared" si="5"/>
        <v>45000000</v>
      </c>
      <c r="X20" s="56">
        <f t="shared" si="6"/>
        <v>0</v>
      </c>
      <c r="Y20" s="58">
        <v>45923</v>
      </c>
      <c r="Z20" s="58">
        <f t="shared" ref="Z20:Z27" si="11">Y20+7</f>
        <v>45930</v>
      </c>
      <c r="AA20" s="58">
        <f t="shared" ref="AA20:AA27" si="12">Z20+30</f>
        <v>45960</v>
      </c>
      <c r="AB20" s="58">
        <f t="shared" ref="AB20:AB27" si="13">Z20+60</f>
        <v>45990</v>
      </c>
      <c r="AC20" s="53" t="s">
        <v>63</v>
      </c>
      <c r="AD20" s="53"/>
      <c r="AF20" s="183">
        <f>VLOOKUP(B20,investasi!$B$5:$G$18,6,0)</f>
        <v>45000000</v>
      </c>
      <c r="AG20" s="184">
        <f t="shared" si="8"/>
        <v>45000000</v>
      </c>
      <c r="AH20" s="184">
        <f t="shared" si="9"/>
        <v>0</v>
      </c>
    </row>
    <row r="21" spans="1:35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0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6">
        <f t="shared" si="3"/>
        <v>20</v>
      </c>
      <c r="V21" s="56">
        <f t="shared" si="4"/>
        <v>0</v>
      </c>
      <c r="W21" s="55">
        <f t="shared" si="5"/>
        <v>52594750</v>
      </c>
      <c r="X21" s="56">
        <f t="shared" si="6"/>
        <v>0</v>
      </c>
      <c r="Y21" s="58">
        <v>45922</v>
      </c>
      <c r="Z21" s="58">
        <f t="shared" si="11"/>
        <v>45929</v>
      </c>
      <c r="AA21" s="58">
        <f t="shared" si="12"/>
        <v>45959</v>
      </c>
      <c r="AB21" s="58">
        <f t="shared" si="13"/>
        <v>45989</v>
      </c>
      <c r="AC21" s="53" t="s">
        <v>63</v>
      </c>
      <c r="AD21" s="53"/>
      <c r="AF21" s="183">
        <f>VLOOKUP(B21,investasi!$B$5:$G$18,6,0)</f>
        <v>52594750</v>
      </c>
      <c r="AG21" s="184">
        <f t="shared" si="8"/>
        <v>52594750</v>
      </c>
      <c r="AH21" s="184">
        <f t="shared" si="9"/>
        <v>0</v>
      </c>
    </row>
    <row r="22" spans="1:35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 t="s">
        <v>58</v>
      </c>
      <c r="U22" s="56">
        <f t="shared" si="3"/>
        <v>8</v>
      </c>
      <c r="V22" s="56">
        <f t="shared" si="4"/>
        <v>0</v>
      </c>
      <c r="W22" s="55">
        <f t="shared" si="5"/>
        <v>102000000</v>
      </c>
      <c r="X22" s="56">
        <f t="shared" si="6"/>
        <v>0</v>
      </c>
      <c r="Y22" s="58">
        <v>45925</v>
      </c>
      <c r="Z22" s="182">
        <f t="shared" si="11"/>
        <v>45932</v>
      </c>
      <c r="AA22" s="182">
        <f t="shared" si="12"/>
        <v>45962</v>
      </c>
      <c r="AB22" s="58">
        <f t="shared" si="13"/>
        <v>45992</v>
      </c>
      <c r="AC22" s="53" t="s">
        <v>63</v>
      </c>
      <c r="AD22" s="53"/>
      <c r="AF22" s="183">
        <f>VLOOKUP(B22,investasi!$B$5:$G$18,6,0)</f>
        <v>80400000</v>
      </c>
      <c r="AG22" s="184">
        <f t="shared" si="8"/>
        <v>102000000</v>
      </c>
      <c r="AH22" s="184">
        <f t="shared" si="9"/>
        <v>-21600000</v>
      </c>
      <c r="AI22" s="59" t="s">
        <v>113</v>
      </c>
    </row>
    <row r="23" spans="1:35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6">
        <f t="shared" si="3"/>
        <v>1</v>
      </c>
      <c r="V23" s="56">
        <f t="shared" si="4"/>
        <v>0</v>
      </c>
      <c r="W23" s="55">
        <f t="shared" si="5"/>
        <v>68500000</v>
      </c>
      <c r="X23" s="56">
        <f t="shared" si="6"/>
        <v>0</v>
      </c>
      <c r="Y23" s="58">
        <v>45923</v>
      </c>
      <c r="Z23" s="182">
        <f t="shared" si="11"/>
        <v>45930</v>
      </c>
      <c r="AA23" s="182">
        <f t="shared" si="12"/>
        <v>45960</v>
      </c>
      <c r="AB23" s="58">
        <f t="shared" si="13"/>
        <v>45990</v>
      </c>
      <c r="AC23" s="53" t="s">
        <v>63</v>
      </c>
      <c r="AD23" s="53"/>
      <c r="AF23" s="183">
        <f>VLOOKUP(B23,investasi!$B$5:$G$18,6,0)</f>
        <v>68500000</v>
      </c>
      <c r="AG23" s="184">
        <f t="shared" si="8"/>
        <v>68500000</v>
      </c>
      <c r="AH23" s="184">
        <f t="shared" si="9"/>
        <v>0</v>
      </c>
    </row>
    <row r="24" spans="1:35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6">
        <f t="shared" si="3"/>
        <v>2</v>
      </c>
      <c r="V24" s="56">
        <f t="shared" si="4"/>
        <v>0</v>
      </c>
      <c r="W24" s="55">
        <f t="shared" si="5"/>
        <v>45000000</v>
      </c>
      <c r="X24" s="56">
        <f t="shared" si="6"/>
        <v>0</v>
      </c>
      <c r="Y24" s="182">
        <v>45925</v>
      </c>
      <c r="Z24" s="182">
        <f t="shared" si="11"/>
        <v>45932</v>
      </c>
      <c r="AA24" s="182">
        <f t="shared" si="12"/>
        <v>45962</v>
      </c>
      <c r="AB24" s="58">
        <f t="shared" si="13"/>
        <v>45992</v>
      </c>
      <c r="AC24" s="53" t="s">
        <v>63</v>
      </c>
      <c r="AD24" s="55"/>
      <c r="AF24" s="183">
        <f>VLOOKUP(B24,investasi!$B$5:$G$18,6,0)</f>
        <v>45000000</v>
      </c>
      <c r="AG24" s="184">
        <f t="shared" si="8"/>
        <v>45000000</v>
      </c>
      <c r="AH24" s="184">
        <f t="shared" si="9"/>
        <v>0</v>
      </c>
    </row>
    <row r="25" spans="1:35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6">
        <f t="shared" si="3"/>
        <v>1</v>
      </c>
      <c r="V25" s="56">
        <f t="shared" si="4"/>
        <v>0</v>
      </c>
      <c r="W25" s="55">
        <f t="shared" si="5"/>
        <v>223104820</v>
      </c>
      <c r="X25" s="56">
        <f t="shared" si="6"/>
        <v>0</v>
      </c>
      <c r="Y25" s="182">
        <v>45930</v>
      </c>
      <c r="Z25" s="182">
        <f t="shared" si="11"/>
        <v>45937</v>
      </c>
      <c r="AA25" s="182">
        <f t="shared" si="12"/>
        <v>45967</v>
      </c>
      <c r="AB25" s="58">
        <f t="shared" si="13"/>
        <v>45997</v>
      </c>
      <c r="AC25" s="53" t="s">
        <v>63</v>
      </c>
      <c r="AD25" s="53"/>
      <c r="AF25" s="183">
        <f>VLOOKUP(B25,investasi!$B$5:$G$18,6,0)</f>
        <v>223104820</v>
      </c>
      <c r="AG25" s="184">
        <f t="shared" si="8"/>
        <v>223104820</v>
      </c>
      <c r="AH25" s="184">
        <f t="shared" si="9"/>
        <v>0</v>
      </c>
    </row>
    <row r="26" spans="1:35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6">
        <f t="shared" si="3"/>
        <v>2</v>
      </c>
      <c r="V26" s="56">
        <f t="shared" si="4"/>
        <v>0</v>
      </c>
      <c r="W26" s="55">
        <f t="shared" si="5"/>
        <v>45000000</v>
      </c>
      <c r="X26" s="56">
        <f t="shared" si="6"/>
        <v>0</v>
      </c>
      <c r="Y26" s="182">
        <v>45940</v>
      </c>
      <c r="Z26" s="182">
        <f t="shared" si="11"/>
        <v>45947</v>
      </c>
      <c r="AA26" s="182">
        <f t="shared" si="12"/>
        <v>45977</v>
      </c>
      <c r="AB26" s="58">
        <f t="shared" si="13"/>
        <v>46007</v>
      </c>
      <c r="AC26" s="53" t="s">
        <v>63</v>
      </c>
      <c r="AD26" s="53"/>
      <c r="AF26" s="183">
        <f>VLOOKUP(B26,investasi!$B$23:$G$26,6,0)</f>
        <v>45000000</v>
      </c>
      <c r="AG26" s="184">
        <f>M26</f>
        <v>45000000</v>
      </c>
      <c r="AH26" s="184">
        <f t="shared" si="9"/>
        <v>0</v>
      </c>
    </row>
    <row r="27" spans="1:35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6">
        <f t="shared" si="3"/>
        <v>1</v>
      </c>
      <c r="V27" s="56">
        <f t="shared" si="4"/>
        <v>0</v>
      </c>
      <c r="W27" s="55">
        <f>J27*U27+L27</f>
        <v>134761000</v>
      </c>
      <c r="X27" s="56">
        <f>K27+L27-W27</f>
        <v>0</v>
      </c>
      <c r="Y27" s="182">
        <v>45940</v>
      </c>
      <c r="Z27" s="182">
        <f t="shared" si="11"/>
        <v>45947</v>
      </c>
      <c r="AA27" s="182">
        <f t="shared" si="12"/>
        <v>45977</v>
      </c>
      <c r="AB27" s="58">
        <f t="shared" si="13"/>
        <v>46007</v>
      </c>
      <c r="AC27" s="53" t="s">
        <v>63</v>
      </c>
      <c r="AD27" s="53"/>
      <c r="AF27" s="183">
        <f>VLOOKUP(B27,investasi!$B$23:$G$26,6,0)+investasi!I24</f>
        <v>134761000</v>
      </c>
      <c r="AG27" s="184">
        <f t="shared" si="8"/>
        <v>134761000</v>
      </c>
      <c r="AH27" s="184">
        <f t="shared" si="9"/>
        <v>0</v>
      </c>
    </row>
    <row r="28" spans="1:35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6">
        <f t="shared" si="3"/>
        <v>0</v>
      </c>
      <c r="V28" s="56"/>
      <c r="W28" s="55"/>
      <c r="X28" s="56"/>
      <c r="Y28" s="182"/>
      <c r="Z28" s="182"/>
      <c r="AA28" s="182"/>
      <c r="AB28" s="58"/>
      <c r="AC28" s="53" t="s">
        <v>63</v>
      </c>
      <c r="AD28" s="53"/>
      <c r="AF28" s="183"/>
      <c r="AG28" s="184"/>
    </row>
    <row r="29" spans="1:35" s="67" customFormat="1" ht="14.25" customHeight="1" x14ac:dyDescent="0.25">
      <c r="A29" s="180">
        <v>18</v>
      </c>
      <c r="B29" s="180">
        <f>Detail!B60</f>
        <v>5200779815</v>
      </c>
      <c r="C29" s="62">
        <v>45965</v>
      </c>
      <c r="D29" s="61" t="s">
        <v>61</v>
      </c>
      <c r="E29" s="63">
        <v>1</v>
      </c>
      <c r="F29" s="63"/>
      <c r="G29" s="63">
        <f>Detail!F60</f>
        <v>685000000</v>
      </c>
      <c r="H29" s="63">
        <f t="shared" si="0"/>
        <v>685000000</v>
      </c>
      <c r="I29" s="63">
        <f t="shared" si="14"/>
        <v>342500000</v>
      </c>
      <c r="J29" s="63">
        <f t="shared" si="15"/>
        <v>68500000</v>
      </c>
      <c r="K29" s="64">
        <f>(I29*20%)+F29</f>
        <v>68500000</v>
      </c>
      <c r="L29" s="64">
        <v>66261000</v>
      </c>
      <c r="M29" s="64">
        <f t="shared" si="10"/>
        <v>134761000</v>
      </c>
      <c r="N29" s="61"/>
      <c r="O29" s="64"/>
      <c r="P29" s="61"/>
      <c r="Q29" s="61"/>
      <c r="R29" s="61">
        <v>1</v>
      </c>
      <c r="S29" s="61"/>
      <c r="T29" s="61"/>
      <c r="U29" s="64">
        <f t="shared" si="3"/>
        <v>1</v>
      </c>
      <c r="V29" s="64">
        <f t="shared" ref="V29:V30" si="17">E29-U29</f>
        <v>0</v>
      </c>
      <c r="W29" s="63">
        <f>J29*U29+L29</f>
        <v>134761000</v>
      </c>
      <c r="X29" s="64">
        <f>K29+L29-W29</f>
        <v>0</v>
      </c>
      <c r="Y29" s="65">
        <v>45989</v>
      </c>
      <c r="Z29" s="68">
        <f>Y29+3</f>
        <v>45992</v>
      </c>
      <c r="AA29" s="68">
        <f t="shared" ref="AA29:AA40" si="18">Z29+30</f>
        <v>46022</v>
      </c>
      <c r="AB29" s="65">
        <f t="shared" ref="AB29:AB40" si="19">Z29+60</f>
        <v>46052</v>
      </c>
      <c r="AC29" s="61" t="s">
        <v>69</v>
      </c>
      <c r="AD29" s="61"/>
      <c r="AF29" s="196">
        <f>VLOOKUP(B29,investasi!$B$23:$G$26,6,0)+investasi!I26</f>
        <v>134761000</v>
      </c>
      <c r="AG29" s="197">
        <f t="shared" si="8"/>
        <v>134761000</v>
      </c>
      <c r="AH29" s="197">
        <f t="shared" si="9"/>
        <v>0</v>
      </c>
    </row>
    <row r="30" spans="1:35" s="67" customFormat="1" ht="14.25" customHeight="1" x14ac:dyDescent="0.25">
      <c r="A30" s="180">
        <f>A29+1</f>
        <v>19</v>
      </c>
      <c r="B30" s="180">
        <v>5200988854</v>
      </c>
      <c r="C30" s="62">
        <v>45977</v>
      </c>
      <c r="D30" s="61" t="s">
        <v>114</v>
      </c>
      <c r="E30" s="63">
        <v>150</v>
      </c>
      <c r="F30" s="63"/>
      <c r="G30" s="63">
        <v>4990500</v>
      </c>
      <c r="H30" s="63">
        <f>E30*G30</f>
        <v>748575000</v>
      </c>
      <c r="I30" s="63">
        <f t="shared" si="14"/>
        <v>374287500</v>
      </c>
      <c r="J30" s="63">
        <f t="shared" si="15"/>
        <v>499050</v>
      </c>
      <c r="K30" s="64">
        <f>(I30*20%)+F30</f>
        <v>74857500</v>
      </c>
      <c r="L30" s="64"/>
      <c r="M30" s="64">
        <f t="shared" si="10"/>
        <v>74857500</v>
      </c>
      <c r="N30" s="61"/>
      <c r="O30" s="64"/>
      <c r="P30" s="61"/>
      <c r="Q30" s="61"/>
      <c r="R30" s="61">
        <v>150</v>
      </c>
      <c r="S30" s="61"/>
      <c r="T30" s="61"/>
      <c r="U30" s="64">
        <f t="shared" si="3"/>
        <v>150</v>
      </c>
      <c r="V30" s="64">
        <f t="shared" si="17"/>
        <v>0</v>
      </c>
      <c r="W30" s="63">
        <f>J30*U30+L30</f>
        <v>74857500</v>
      </c>
      <c r="X30" s="64">
        <f>K30+L30-W30</f>
        <v>0</v>
      </c>
      <c r="Y30" s="65">
        <v>45989</v>
      </c>
      <c r="Z30" s="68">
        <f>Y30+3</f>
        <v>45992</v>
      </c>
      <c r="AA30" s="68">
        <f t="shared" si="18"/>
        <v>46022</v>
      </c>
      <c r="AB30" s="65">
        <f t="shared" si="19"/>
        <v>46052</v>
      </c>
      <c r="AC30" s="61" t="s">
        <v>69</v>
      </c>
      <c r="AD30" s="61"/>
      <c r="AF30" s="196"/>
      <c r="AG30" s="197"/>
      <c r="AH30" s="197"/>
    </row>
    <row r="31" spans="1:35" ht="14.25" customHeight="1" x14ac:dyDescent="0.25">
      <c r="A31" s="31">
        <f t="shared" ref="A31:A41" si="20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21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22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>
        <f t="shared" si="3"/>
        <v>0</v>
      </c>
      <c r="V31" s="7"/>
      <c r="W31" s="78"/>
      <c r="X31" s="7">
        <f t="shared" ref="X31:X34" si="23">K31+L31-W31</f>
        <v>211000000</v>
      </c>
      <c r="Y31" s="27"/>
      <c r="Z31" s="185"/>
      <c r="AA31" s="185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20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21"/>
        <v>2110000000</v>
      </c>
      <c r="I32" s="78">
        <f t="shared" si="14"/>
        <v>1055000000</v>
      </c>
      <c r="J32" s="78">
        <f t="shared" si="15"/>
        <v>2110000</v>
      </c>
      <c r="K32" s="7">
        <f t="shared" si="22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>
        <f t="shared" si="3"/>
        <v>0</v>
      </c>
      <c r="V32" s="7"/>
      <c r="W32" s="78"/>
      <c r="X32" s="7">
        <f t="shared" si="23"/>
        <v>211000000</v>
      </c>
      <c r="Y32" s="27"/>
      <c r="Z32" s="185"/>
      <c r="AA32" s="185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20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21"/>
        <v>2321000000</v>
      </c>
      <c r="I33" s="78">
        <f t="shared" si="14"/>
        <v>1160500000</v>
      </c>
      <c r="J33" s="78">
        <f t="shared" si="15"/>
        <v>2110000</v>
      </c>
      <c r="K33" s="7">
        <f t="shared" si="22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>
        <f t="shared" si="3"/>
        <v>0</v>
      </c>
      <c r="V33" s="7"/>
      <c r="W33" s="78"/>
      <c r="X33" s="7">
        <f t="shared" si="23"/>
        <v>232100000</v>
      </c>
      <c r="Y33" s="27"/>
      <c r="Z33" s="185"/>
      <c r="AA33" s="185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>
        <f t="shared" si="20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1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>
        <f t="shared" si="3"/>
        <v>0</v>
      </c>
      <c r="V34" s="7"/>
      <c r="W34" s="78"/>
      <c r="X34" s="7">
        <f t="shared" si="23"/>
        <v>76500000</v>
      </c>
      <c r="Y34" s="27"/>
      <c r="Z34" s="185"/>
      <c r="AA34" s="185"/>
      <c r="AB34" s="27"/>
      <c r="AC34" s="4" t="s">
        <v>65</v>
      </c>
      <c r="AD34" s="4"/>
      <c r="AF34" s="82"/>
      <c r="AG34" s="2"/>
      <c r="AH34" s="2"/>
    </row>
    <row r="35" spans="1:34" ht="14.25" customHeight="1" x14ac:dyDescent="0.25">
      <c r="A35" s="31">
        <f t="shared" si="20"/>
        <v>24</v>
      </c>
      <c r="B35" s="179">
        <v>5200991260</v>
      </c>
      <c r="C35" s="16">
        <v>45985</v>
      </c>
      <c r="D35" s="4" t="s">
        <v>114</v>
      </c>
      <c r="E35" s="78">
        <v>150</v>
      </c>
      <c r="F35" s="78"/>
      <c r="G35" s="78">
        <v>4990500</v>
      </c>
      <c r="H35" s="78">
        <f>E35*G35</f>
        <v>748575000</v>
      </c>
      <c r="I35" s="78">
        <f t="shared" si="14"/>
        <v>374287500</v>
      </c>
      <c r="J35" s="78">
        <f t="shared" ref="J35:J40" si="24">(I35*20%)/E35</f>
        <v>499050</v>
      </c>
      <c r="K35" s="7">
        <f>(I35*20%)+F35</f>
        <v>74857500</v>
      </c>
      <c r="L35" s="7"/>
      <c r="M35" s="7">
        <f t="shared" ref="M35:M40" si="25">SUM(K35:L35)</f>
        <v>74857500</v>
      </c>
      <c r="N35" s="4"/>
      <c r="O35" s="7"/>
      <c r="P35" s="4"/>
      <c r="Q35" s="4"/>
      <c r="R35" s="4"/>
      <c r="S35" s="4"/>
      <c r="T35" s="4"/>
      <c r="U35" s="7">
        <f t="shared" si="3"/>
        <v>0</v>
      </c>
      <c r="V35" s="7"/>
      <c r="W35" s="78"/>
      <c r="X35" s="7">
        <f>K35+L35-W35</f>
        <v>74857500</v>
      </c>
      <c r="Y35" s="27">
        <f>C35+14</f>
        <v>45999</v>
      </c>
      <c r="Z35" s="182">
        <f t="shared" ref="Z35:Z40" si="26">Y35+7</f>
        <v>46006</v>
      </c>
      <c r="AA35" s="182">
        <f t="shared" si="18"/>
        <v>46036</v>
      </c>
      <c r="AB35" s="58">
        <f t="shared" si="19"/>
        <v>46066</v>
      </c>
      <c r="AC35" s="4" t="s">
        <v>65</v>
      </c>
      <c r="AD35" s="4"/>
      <c r="AF35" s="82"/>
      <c r="AG35" s="2"/>
      <c r="AH35" s="2"/>
    </row>
    <row r="36" spans="1:34" ht="14.25" customHeight="1" x14ac:dyDescent="0.25">
      <c r="A36" s="31">
        <f t="shared" si="20"/>
        <v>25</v>
      </c>
      <c r="B36" s="179">
        <v>5200991264</v>
      </c>
      <c r="C36" s="16">
        <v>45985</v>
      </c>
      <c r="D36" s="4" t="s">
        <v>114</v>
      </c>
      <c r="E36" s="78">
        <v>150</v>
      </c>
      <c r="F36" s="78"/>
      <c r="G36" s="78">
        <v>4990500</v>
      </c>
      <c r="H36" s="78">
        <f t="shared" ref="H36:H39" si="27">E36*G36</f>
        <v>748575000</v>
      </c>
      <c r="I36" s="78">
        <f t="shared" si="14"/>
        <v>374287500</v>
      </c>
      <c r="J36" s="78">
        <f t="shared" si="24"/>
        <v>499050</v>
      </c>
      <c r="K36" s="7">
        <f t="shared" ref="K36:K39" si="28">(I36*20%)+F36</f>
        <v>74857500</v>
      </c>
      <c r="L36" s="7"/>
      <c r="M36" s="7">
        <f t="shared" si="25"/>
        <v>74857500</v>
      </c>
      <c r="N36" s="4"/>
      <c r="O36" s="7"/>
      <c r="P36" s="4"/>
      <c r="Q36" s="4"/>
      <c r="R36" s="4"/>
      <c r="S36" s="4"/>
      <c r="T36" s="4"/>
      <c r="U36" s="7">
        <f t="shared" si="3"/>
        <v>0</v>
      </c>
      <c r="V36" s="7"/>
      <c r="W36" s="78"/>
      <c r="X36" s="7">
        <f t="shared" ref="X36:X39" si="29">K36+L36-W36</f>
        <v>74857500</v>
      </c>
      <c r="Y36" s="27">
        <f t="shared" ref="Y36:Y40" si="30">C36+21</f>
        <v>46006</v>
      </c>
      <c r="Z36" s="182">
        <f t="shared" si="26"/>
        <v>46013</v>
      </c>
      <c r="AA36" s="182">
        <f t="shared" si="18"/>
        <v>46043</v>
      </c>
      <c r="AB36" s="58">
        <f t="shared" si="19"/>
        <v>46073</v>
      </c>
      <c r="AC36" s="4" t="s">
        <v>65</v>
      </c>
      <c r="AD36" s="4"/>
      <c r="AF36" s="82"/>
      <c r="AG36" s="2"/>
      <c r="AH36" s="2"/>
    </row>
    <row r="37" spans="1:34" ht="14.25" customHeight="1" x14ac:dyDescent="0.25">
      <c r="A37" s="31">
        <f t="shared" si="20"/>
        <v>26</v>
      </c>
      <c r="B37" s="179">
        <v>5200991456</v>
      </c>
      <c r="C37" s="16">
        <v>45986</v>
      </c>
      <c r="D37" s="4" t="s">
        <v>114</v>
      </c>
      <c r="E37" s="78">
        <v>150</v>
      </c>
      <c r="F37" s="78"/>
      <c r="G37" s="78">
        <v>4990500</v>
      </c>
      <c r="H37" s="78">
        <f t="shared" si="27"/>
        <v>748575000</v>
      </c>
      <c r="I37" s="78">
        <f t="shared" si="14"/>
        <v>374287500</v>
      </c>
      <c r="J37" s="78">
        <f t="shared" si="24"/>
        <v>499050</v>
      </c>
      <c r="K37" s="7">
        <f t="shared" si="28"/>
        <v>74857500</v>
      </c>
      <c r="L37" s="7"/>
      <c r="M37" s="7">
        <f t="shared" si="25"/>
        <v>74857500</v>
      </c>
      <c r="N37" s="4"/>
      <c r="O37" s="7"/>
      <c r="P37" s="4"/>
      <c r="Q37" s="4"/>
      <c r="R37" s="4"/>
      <c r="S37" s="4"/>
      <c r="T37" s="4"/>
      <c r="U37" s="7">
        <f t="shared" si="3"/>
        <v>0</v>
      </c>
      <c r="V37" s="7"/>
      <c r="W37" s="78"/>
      <c r="X37" s="7">
        <f t="shared" si="29"/>
        <v>74857500</v>
      </c>
      <c r="Y37" s="27">
        <f t="shared" si="30"/>
        <v>46007</v>
      </c>
      <c r="Z37" s="182">
        <f t="shared" si="26"/>
        <v>46014</v>
      </c>
      <c r="AA37" s="182">
        <f t="shared" si="18"/>
        <v>46044</v>
      </c>
      <c r="AB37" s="58">
        <f t="shared" si="19"/>
        <v>46074</v>
      </c>
      <c r="AC37" s="4" t="s">
        <v>65</v>
      </c>
      <c r="AD37" s="4"/>
      <c r="AF37" s="82"/>
      <c r="AG37" s="2"/>
      <c r="AH37" s="2"/>
    </row>
    <row r="38" spans="1:34" ht="14.25" customHeight="1" x14ac:dyDescent="0.25">
      <c r="A38" s="31">
        <f t="shared" si="20"/>
        <v>27</v>
      </c>
      <c r="B38" s="179">
        <v>5200991458</v>
      </c>
      <c r="C38" s="16">
        <v>45986</v>
      </c>
      <c r="D38" s="4" t="s">
        <v>114</v>
      </c>
      <c r="E38" s="78">
        <v>150</v>
      </c>
      <c r="F38" s="78"/>
      <c r="G38" s="78">
        <v>4990500</v>
      </c>
      <c r="H38" s="78">
        <f t="shared" si="27"/>
        <v>748575000</v>
      </c>
      <c r="I38" s="78">
        <f t="shared" si="14"/>
        <v>374287500</v>
      </c>
      <c r="J38" s="78">
        <f t="shared" si="24"/>
        <v>499050</v>
      </c>
      <c r="K38" s="7">
        <f t="shared" si="28"/>
        <v>74857500</v>
      </c>
      <c r="L38" s="7"/>
      <c r="M38" s="7">
        <f t="shared" si="25"/>
        <v>74857500</v>
      </c>
      <c r="N38" s="4"/>
      <c r="O38" s="7"/>
      <c r="P38" s="4"/>
      <c r="Q38" s="4"/>
      <c r="R38" s="4"/>
      <c r="S38" s="4"/>
      <c r="T38" s="4"/>
      <c r="U38" s="7">
        <f t="shared" si="3"/>
        <v>0</v>
      </c>
      <c r="V38" s="7"/>
      <c r="W38" s="78"/>
      <c r="X38" s="7">
        <f t="shared" si="29"/>
        <v>74857500</v>
      </c>
      <c r="Y38" s="27">
        <f t="shared" si="30"/>
        <v>46007</v>
      </c>
      <c r="Z38" s="182">
        <f t="shared" si="26"/>
        <v>46014</v>
      </c>
      <c r="AA38" s="182">
        <f t="shared" si="18"/>
        <v>46044</v>
      </c>
      <c r="AB38" s="58">
        <f t="shared" si="19"/>
        <v>46074</v>
      </c>
      <c r="AC38" s="4" t="s">
        <v>65</v>
      </c>
      <c r="AD38" s="4"/>
      <c r="AF38" s="82"/>
      <c r="AG38" s="2"/>
      <c r="AH38" s="2"/>
    </row>
    <row r="39" spans="1:34" ht="14.25" customHeight="1" x14ac:dyDescent="0.25">
      <c r="A39" s="31">
        <f t="shared" si="20"/>
        <v>28</v>
      </c>
      <c r="B39" s="179">
        <v>5200991502</v>
      </c>
      <c r="C39" s="16">
        <v>45986</v>
      </c>
      <c r="D39" s="4" t="s">
        <v>114</v>
      </c>
      <c r="E39" s="78">
        <v>150</v>
      </c>
      <c r="F39" s="78"/>
      <c r="G39" s="78">
        <v>4990500</v>
      </c>
      <c r="H39" s="78">
        <f t="shared" si="27"/>
        <v>748575000</v>
      </c>
      <c r="I39" s="78">
        <f t="shared" si="14"/>
        <v>374287500</v>
      </c>
      <c r="J39" s="78">
        <f t="shared" si="24"/>
        <v>499050</v>
      </c>
      <c r="K39" s="7">
        <f t="shared" si="28"/>
        <v>74857500</v>
      </c>
      <c r="L39" s="7"/>
      <c r="M39" s="7">
        <f t="shared" si="25"/>
        <v>74857500</v>
      </c>
      <c r="N39" s="4"/>
      <c r="O39" s="7"/>
      <c r="P39" s="4"/>
      <c r="Q39" s="4"/>
      <c r="R39" s="4"/>
      <c r="S39" s="4"/>
      <c r="T39" s="4"/>
      <c r="U39" s="7">
        <f t="shared" si="3"/>
        <v>0</v>
      </c>
      <c r="V39" s="7"/>
      <c r="W39" s="78"/>
      <c r="X39" s="7">
        <f t="shared" si="29"/>
        <v>74857500</v>
      </c>
      <c r="Y39" s="27">
        <f t="shared" si="30"/>
        <v>46007</v>
      </c>
      <c r="Z39" s="182">
        <f t="shared" si="26"/>
        <v>46014</v>
      </c>
      <c r="AA39" s="182">
        <f t="shared" si="18"/>
        <v>46044</v>
      </c>
      <c r="AB39" s="58">
        <f t="shared" si="19"/>
        <v>46074</v>
      </c>
      <c r="AC39" s="4" t="s">
        <v>65</v>
      </c>
      <c r="AD39" s="4"/>
      <c r="AF39" s="82"/>
      <c r="AG39" s="2"/>
      <c r="AH39" s="2"/>
    </row>
    <row r="40" spans="1:34" ht="14.25" customHeight="1" x14ac:dyDescent="0.25">
      <c r="A40" s="31">
        <f t="shared" si="20"/>
        <v>29</v>
      </c>
      <c r="B40" s="179">
        <v>5200991502</v>
      </c>
      <c r="C40" s="16">
        <v>45986</v>
      </c>
      <c r="D40" s="4" t="s">
        <v>114</v>
      </c>
      <c r="E40" s="78">
        <v>150</v>
      </c>
      <c r="F40" s="78"/>
      <c r="G40" s="78">
        <v>4990500</v>
      </c>
      <c r="H40" s="78">
        <f>E40*G40</f>
        <v>748575000</v>
      </c>
      <c r="I40" s="78">
        <f t="shared" si="14"/>
        <v>374287500</v>
      </c>
      <c r="J40" s="78">
        <f t="shared" si="24"/>
        <v>499050</v>
      </c>
      <c r="K40" s="7">
        <f>(I40*20%)+F40</f>
        <v>74857500</v>
      </c>
      <c r="L40" s="7"/>
      <c r="M40" s="7">
        <f t="shared" si="25"/>
        <v>74857500</v>
      </c>
      <c r="N40" s="4"/>
      <c r="O40" s="7"/>
      <c r="P40" s="4"/>
      <c r="Q40" s="4"/>
      <c r="R40" s="4"/>
      <c r="S40" s="4"/>
      <c r="T40" s="4"/>
      <c r="U40" s="7">
        <f t="shared" si="3"/>
        <v>0</v>
      </c>
      <c r="V40" s="7"/>
      <c r="W40" s="78"/>
      <c r="X40" s="7">
        <f>K40+L40-W40</f>
        <v>74857500</v>
      </c>
      <c r="Y40" s="27">
        <f t="shared" si="30"/>
        <v>46007</v>
      </c>
      <c r="Z40" s="182">
        <f t="shared" si="26"/>
        <v>46014</v>
      </c>
      <c r="AA40" s="182">
        <f t="shared" si="18"/>
        <v>46044</v>
      </c>
      <c r="AB40" s="58">
        <f t="shared" si="19"/>
        <v>46074</v>
      </c>
      <c r="AC40" s="4" t="s">
        <v>65</v>
      </c>
      <c r="AD40" s="4"/>
      <c r="AF40" s="82"/>
      <c r="AG40" s="2"/>
      <c r="AH40" s="2"/>
    </row>
    <row r="41" spans="1:34" ht="14.25" customHeight="1" x14ac:dyDescent="0.25">
      <c r="A41" s="31">
        <f t="shared" si="20"/>
        <v>30</v>
      </c>
      <c r="B41" s="179">
        <v>5200991502</v>
      </c>
      <c r="C41" s="16">
        <v>45986</v>
      </c>
      <c r="D41" s="4" t="s">
        <v>114</v>
      </c>
      <c r="E41" s="78">
        <v>50</v>
      </c>
      <c r="F41" s="78"/>
      <c r="G41" s="78">
        <v>4990500</v>
      </c>
      <c r="H41" s="78">
        <f>E41*G41</f>
        <v>249525000</v>
      </c>
      <c r="I41" s="78">
        <f t="shared" ref="I41" si="31">H41*50%</f>
        <v>124762500</v>
      </c>
      <c r="J41" s="78">
        <f t="shared" ref="J41" si="32">(I41*20%)/E41</f>
        <v>499050</v>
      </c>
      <c r="K41" s="7">
        <f>(I41*20%)+F41</f>
        <v>24952500</v>
      </c>
      <c r="L41" s="7"/>
      <c r="M41" s="7">
        <f t="shared" ref="M41" si="33">SUM(K41:L41)</f>
        <v>24952500</v>
      </c>
      <c r="N41" s="4"/>
      <c r="O41" s="7"/>
      <c r="P41" s="4"/>
      <c r="Q41" s="4"/>
      <c r="R41" s="4"/>
      <c r="S41" s="4"/>
      <c r="T41" s="4"/>
      <c r="U41" s="7">
        <f t="shared" ref="U41" si="34">SUM(N41:S41)</f>
        <v>0</v>
      </c>
      <c r="V41" s="7"/>
      <c r="W41" s="78"/>
      <c r="X41" s="7">
        <f>K41+L41-W41</f>
        <v>24952500</v>
      </c>
      <c r="Y41" s="27">
        <f t="shared" ref="Y41" si="35">C41+21</f>
        <v>46007</v>
      </c>
      <c r="Z41" s="182">
        <f t="shared" ref="Z41" si="36">Y41+7</f>
        <v>46014</v>
      </c>
      <c r="AA41" s="182">
        <f t="shared" ref="AA41" si="37">Z41+30</f>
        <v>46044</v>
      </c>
      <c r="AB41" s="58">
        <f t="shared" ref="AB41" si="38">Z41+60</f>
        <v>46074</v>
      </c>
      <c r="AC41" s="4" t="s">
        <v>65</v>
      </c>
      <c r="AD41" s="4"/>
      <c r="AF41" s="82"/>
      <c r="AG41" s="2"/>
      <c r="AH41" s="2"/>
    </row>
    <row r="42" spans="1:34" ht="15.75" thickBot="1" x14ac:dyDescent="0.3">
      <c r="A42" s="29"/>
      <c r="C42" s="15"/>
      <c r="D42" s="15"/>
      <c r="E42" s="79"/>
      <c r="F42" s="79"/>
      <c r="G42" s="79"/>
      <c r="H42" s="79"/>
      <c r="I42" s="79"/>
      <c r="J42" s="79"/>
      <c r="K42" s="2"/>
      <c r="L42" s="2"/>
      <c r="M42" s="2"/>
      <c r="O42" s="2"/>
      <c r="U42" s="2"/>
      <c r="V42" s="2"/>
      <c r="W42" s="79"/>
      <c r="X42" s="2"/>
      <c r="Y42" s="2"/>
    </row>
    <row r="43" spans="1:34" ht="15.75" thickBot="1" x14ac:dyDescent="0.3">
      <c r="B43" s="32" t="s">
        <v>51</v>
      </c>
      <c r="C43" s="18"/>
      <c r="D43" s="18"/>
      <c r="E43" s="18"/>
      <c r="F43" s="18"/>
      <c r="G43" s="18"/>
      <c r="H43" s="19">
        <f>SUM(H12:H41)</f>
        <v>25081947200</v>
      </c>
      <c r="I43" s="19">
        <f>SUM(I12:I41)</f>
        <v>12540973600</v>
      </c>
      <c r="J43" s="18"/>
      <c r="K43" s="19">
        <f>SUM(K12:K41)</f>
        <v>2517674470</v>
      </c>
      <c r="L43" s="19">
        <f>SUM(L12:L34)</f>
        <v>132522000</v>
      </c>
      <c r="M43" s="19">
        <f>SUM(M12:M41)</f>
        <v>2650196470</v>
      </c>
      <c r="N43" s="18"/>
      <c r="O43" s="18"/>
      <c r="P43" s="18"/>
      <c r="Q43" s="18"/>
      <c r="R43" s="18"/>
      <c r="S43" s="18"/>
      <c r="T43" s="18"/>
      <c r="U43" s="18"/>
      <c r="V43" s="18"/>
      <c r="W43" s="19">
        <f>SUM(W12:W40)</f>
        <v>1445498970</v>
      </c>
      <c r="X43" s="19">
        <f>SUM(X12:X40)</f>
        <v>1179745000</v>
      </c>
      <c r="Y43" s="24"/>
    </row>
    <row r="44" spans="1:34" x14ac:dyDescent="0.25">
      <c r="E44" s="9"/>
      <c r="F44" s="9"/>
      <c r="G44" s="9"/>
      <c r="H44" s="9"/>
      <c r="I44" s="9"/>
      <c r="J44" s="9"/>
      <c r="K44" s="9"/>
      <c r="L44" s="9"/>
      <c r="M44" s="9"/>
      <c r="X44" s="2">
        <f>W43+X43-H56</f>
        <v>2625243970</v>
      </c>
    </row>
    <row r="45" spans="1:34" x14ac:dyDescent="0.25">
      <c r="E45" s="9" t="s">
        <v>36</v>
      </c>
      <c r="F45" s="9"/>
      <c r="G45" s="9" t="s">
        <v>37</v>
      </c>
      <c r="H45" s="9" t="s">
        <v>38</v>
      </c>
      <c r="I45" s="9" t="s">
        <v>39</v>
      </c>
      <c r="J45" s="9" t="s">
        <v>40</v>
      </c>
      <c r="K45" s="9" t="s">
        <v>41</v>
      </c>
      <c r="L45" s="9"/>
      <c r="M45" s="9"/>
    </row>
    <row r="46" spans="1:34" ht="30" x14ac:dyDescent="0.25">
      <c r="E46" s="10" t="s">
        <v>32</v>
      </c>
      <c r="F46" s="11" t="s">
        <v>46</v>
      </c>
      <c r="G46" s="10" t="s">
        <v>8</v>
      </c>
      <c r="H46" s="11" t="s">
        <v>71</v>
      </c>
      <c r="I46" s="12" t="s">
        <v>42</v>
      </c>
      <c r="J46" s="12" t="s">
        <v>133</v>
      </c>
      <c r="K46" s="13" t="s">
        <v>30</v>
      </c>
      <c r="L46" s="33"/>
      <c r="M46" s="33"/>
    </row>
    <row r="47" spans="1:34" x14ac:dyDescent="0.25">
      <c r="E47" s="5">
        <v>45839</v>
      </c>
      <c r="F47" s="7">
        <f>SUM(I12:I14)</f>
        <v>900000000</v>
      </c>
      <c r="G47" s="7">
        <f>SUM(W12:W14)</f>
        <v>180000000</v>
      </c>
      <c r="H47" s="6"/>
      <c r="I47" s="6"/>
      <c r="J47" s="6"/>
      <c r="K47" s="7">
        <f>F47+G47</f>
        <v>1080000000</v>
      </c>
      <c r="L47" s="2"/>
      <c r="M47" s="2"/>
      <c r="X47" s="2">
        <f>SUM(I26:I29,AG26:AG29)</f>
        <v>1224522000</v>
      </c>
    </row>
    <row r="48" spans="1:34" x14ac:dyDescent="0.25">
      <c r="E48" s="5">
        <v>45870</v>
      </c>
      <c r="F48" s="7">
        <f>SUM(I15:I18)</f>
        <v>1125000000</v>
      </c>
      <c r="G48" s="7">
        <f>SUM(W15:W18)</f>
        <v>225000000</v>
      </c>
      <c r="H48" s="7"/>
      <c r="I48" s="7">
        <f>SUM(I19:I22)</f>
        <v>1606174500</v>
      </c>
      <c r="J48" s="7"/>
      <c r="K48" s="7">
        <f>K47+F48+G48+H48-I48-J48</f>
        <v>823825500</v>
      </c>
      <c r="L48" s="2"/>
      <c r="M48" s="2"/>
    </row>
    <row r="49" spans="2:22" x14ac:dyDescent="0.25">
      <c r="E49" s="5">
        <v>45901</v>
      </c>
      <c r="F49" s="7">
        <v>1426698600</v>
      </c>
      <c r="G49" s="7"/>
      <c r="H49" s="7"/>
      <c r="I49" s="7">
        <f>SUM(I23:I27)</f>
        <v>2250524100</v>
      </c>
      <c r="J49" s="7"/>
      <c r="K49" s="7">
        <f>K48+F49+G49+H49-I49</f>
        <v>0</v>
      </c>
      <c r="L49" s="2"/>
      <c r="M49" s="2"/>
    </row>
    <row r="50" spans="2:22" x14ac:dyDescent="0.25">
      <c r="E50" s="5">
        <v>45931</v>
      </c>
      <c r="F50" s="7"/>
      <c r="G50" s="7"/>
      <c r="H50" s="7"/>
      <c r="I50" s="7">
        <f>I29+I28</f>
        <v>342500000</v>
      </c>
      <c r="J50" s="7"/>
      <c r="K50" s="7">
        <f>K49+F50+G50+H50-I50</f>
        <v>-342500000</v>
      </c>
      <c r="L50" s="2"/>
      <c r="M50" s="2"/>
    </row>
    <row r="51" spans="2:22" x14ac:dyDescent="0.25">
      <c r="E51" s="5">
        <v>45962</v>
      </c>
      <c r="F51" s="7"/>
      <c r="G51" s="7">
        <f>SUM(M19:M28)</f>
        <v>830880470</v>
      </c>
      <c r="H51" s="7"/>
      <c r="I51" s="7">
        <f>-SUM(I19:I28)+SUM(I30:I40)</f>
        <v>2335313900</v>
      </c>
      <c r="J51" s="7">
        <v>1105000000</v>
      </c>
      <c r="K51" s="7">
        <f>K50+F51+G51+H51-I51-J51</f>
        <v>-2951933430</v>
      </c>
      <c r="L51" s="2"/>
      <c r="M51" s="2"/>
    </row>
    <row r="52" spans="2:22" x14ac:dyDescent="0.25">
      <c r="E52" s="5">
        <v>45992</v>
      </c>
      <c r="F52" s="7">
        <f>2951933430+124762500</f>
        <v>3076695930</v>
      </c>
      <c r="G52" s="7">
        <f>SUM(M29:M41)</f>
        <v>1414316000</v>
      </c>
      <c r="H52" s="7"/>
      <c r="I52" s="7">
        <f>-SUM(I29:I40)</f>
        <v>-6534512500</v>
      </c>
      <c r="J52" s="7"/>
      <c r="K52" s="7">
        <f>K51+F52+G52+H52-I52-J52</f>
        <v>8073591000</v>
      </c>
      <c r="L52" s="2"/>
      <c r="M52" s="2"/>
      <c r="P52" s="1"/>
    </row>
    <row r="53" spans="2:22" x14ac:dyDescent="0.25">
      <c r="E53" s="4"/>
      <c r="F53" s="8">
        <f>SUM(F47:F52)</f>
        <v>6528394530</v>
      </c>
      <c r="G53" s="8">
        <f>SUM(G47:G52)</f>
        <v>2650196470</v>
      </c>
      <c r="H53" s="8">
        <f t="shared" ref="H53:J53" si="39">SUM(H47:H52)</f>
        <v>0</v>
      </c>
      <c r="I53" s="8">
        <f t="shared" si="39"/>
        <v>0</v>
      </c>
      <c r="J53" s="8">
        <f t="shared" si="39"/>
        <v>1105000000</v>
      </c>
      <c r="K53" s="8">
        <f>F53+G53+H53-I53-J53</f>
        <v>8073591000</v>
      </c>
      <c r="L53" s="24"/>
      <c r="M53" s="24"/>
      <c r="P53" s="2"/>
    </row>
    <row r="54" spans="2:22" x14ac:dyDescent="0.25">
      <c r="C54" s="2"/>
      <c r="D54" s="2"/>
      <c r="E54" s="2"/>
      <c r="F54" s="2"/>
      <c r="G54" s="2"/>
      <c r="H54" s="2"/>
    </row>
    <row r="55" spans="2:22" x14ac:dyDescent="0.25">
      <c r="E55" s="167" t="s">
        <v>47</v>
      </c>
      <c r="F55" s="168">
        <f>F53</f>
        <v>6528394530</v>
      </c>
      <c r="G55" s="167"/>
      <c r="H55" s="189"/>
      <c r="I55" s="198" t="s">
        <v>148</v>
      </c>
      <c r="K55" s="2"/>
    </row>
    <row r="56" spans="2:22" x14ac:dyDescent="0.25">
      <c r="E56" s="167" t="s">
        <v>8</v>
      </c>
      <c r="F56" s="168">
        <f>SUM(M12:M27)</f>
        <v>1235880470</v>
      </c>
      <c r="G56" s="167"/>
      <c r="H56" s="189"/>
      <c r="I56" s="188" t="s">
        <v>149</v>
      </c>
      <c r="J56" s="189">
        <f>F53</f>
        <v>6528394530</v>
      </c>
      <c r="K56" s="191"/>
      <c r="L56" s="2"/>
    </row>
    <row r="57" spans="2:22" x14ac:dyDescent="0.25">
      <c r="E57" s="167" t="s">
        <v>144</v>
      </c>
      <c r="F57" s="168">
        <f>-I53</f>
        <v>0</v>
      </c>
      <c r="G57" s="167" t="s">
        <v>146</v>
      </c>
      <c r="H57" s="189"/>
      <c r="I57" s="188" t="s">
        <v>8</v>
      </c>
      <c r="J57" s="193">
        <f>M43</f>
        <v>2650196470</v>
      </c>
      <c r="K57" s="192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2" x14ac:dyDescent="0.25">
      <c r="E58" s="167" t="s">
        <v>133</v>
      </c>
      <c r="F58" s="168">
        <f>-J51</f>
        <v>-1105000000</v>
      </c>
      <c r="G58" s="167"/>
      <c r="H58" s="189"/>
      <c r="I58" s="188" t="s">
        <v>35</v>
      </c>
      <c r="J58" s="199">
        <f>-J51</f>
        <v>-1105000000</v>
      </c>
      <c r="K58" s="193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2" ht="15.75" thickBot="1" x14ac:dyDescent="0.3">
      <c r="E59" s="200" t="s">
        <v>145</v>
      </c>
      <c r="F59" s="201">
        <f>F55+F56+F57+F58</f>
        <v>6659275000</v>
      </c>
      <c r="G59" s="167"/>
      <c r="H59" s="189"/>
      <c r="I59" s="194" t="s">
        <v>150</v>
      </c>
      <c r="J59" s="195">
        <f>J56+J57+J58</f>
        <v>8073591000</v>
      </c>
      <c r="K59" s="191"/>
      <c r="U59" s="2"/>
    </row>
    <row r="60" spans="2:22" ht="15.75" thickTop="1" x14ac:dyDescent="0.25">
      <c r="C60" s="1"/>
      <c r="E60" s="202"/>
      <c r="F60" s="202"/>
      <c r="G60" s="202"/>
      <c r="H60" s="190"/>
      <c r="K60" s="189"/>
      <c r="U60" s="24"/>
    </row>
    <row r="61" spans="2:22" x14ac:dyDescent="0.25">
      <c r="C61" s="1"/>
      <c r="E61" s="167" t="s">
        <v>147</v>
      </c>
      <c r="F61" s="168">
        <f>SUM(I29:I40,M29:M40)</f>
        <v>7923876000</v>
      </c>
      <c r="G61" s="167" t="s">
        <v>146</v>
      </c>
      <c r="I61" s="28"/>
      <c r="K61" s="2"/>
      <c r="U61" s="2"/>
    </row>
    <row r="62" spans="2:22" x14ac:dyDescent="0.25">
      <c r="B62" s="28"/>
      <c r="C62" s="48"/>
      <c r="E62" s="80"/>
      <c r="F62" s="2"/>
      <c r="H62" s="24"/>
      <c r="K62" s="1"/>
      <c r="U62" s="2"/>
    </row>
    <row r="63" spans="2:22" x14ac:dyDescent="0.25">
      <c r="C63" s="1"/>
      <c r="J63" s="80"/>
      <c r="K63" s="24"/>
      <c r="U63" s="24"/>
      <c r="V63" s="2"/>
    </row>
    <row r="64" spans="2:22" x14ac:dyDescent="0.25">
      <c r="B64" s="28"/>
      <c r="C64" s="24"/>
      <c r="J64" s="166"/>
    </row>
    <row r="66" spans="3:3" x14ac:dyDescent="0.25">
      <c r="C66" s="2"/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F10:F11"/>
    <mergeCell ref="A10:A11"/>
    <mergeCell ref="B10:B11"/>
    <mergeCell ref="C10:C11"/>
    <mergeCell ref="D10:D11"/>
    <mergeCell ref="E10:E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819-C601-42E3-BCA7-6FEE754B05F9}">
  <sheetPr>
    <tabColor rgb="FF00B050"/>
  </sheetPr>
  <dimension ref="A1:AP100"/>
  <sheetViews>
    <sheetView showGridLines="0" tabSelected="1" topLeftCell="A10" zoomScale="85" zoomScaleNormal="85" workbookViewId="0">
      <pane xSplit="8" ySplit="2" topLeftCell="I36" activePane="bottomRight" state="frozen"/>
      <selection activeCell="A10" sqref="A10"/>
      <selection pane="topRight" activeCell="H10" sqref="H10"/>
      <selection pane="bottomLeft" activeCell="A12" sqref="A12"/>
      <selection pane="bottomRight" activeCell="P75" sqref="P75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4" width="15.28515625" style="29" bestFit="1" customWidth="1"/>
    <col min="5" max="5" width="16.140625" style="29" customWidth="1"/>
    <col min="6" max="6" width="16.140625" style="29" hidden="1" customWidth="1"/>
    <col min="7" max="7" width="38.140625" bestFit="1" customWidth="1"/>
    <col min="8" max="8" width="9.85546875" customWidth="1"/>
    <col min="9" max="9" width="27.7109375" bestFit="1" customWidth="1"/>
    <col min="10" max="10" width="22.85546875" customWidth="1"/>
    <col min="11" max="11" width="22.85546875" bestFit="1" customWidth="1"/>
    <col min="12" max="13" width="24.85546875" bestFit="1" customWidth="1"/>
    <col min="14" max="14" width="26.7109375" customWidth="1"/>
    <col min="15" max="15" width="21.140625" bestFit="1" customWidth="1"/>
    <col min="16" max="16" width="20.7109375" bestFit="1" customWidth="1"/>
    <col min="17" max="17" width="3.7109375" hidden="1" customWidth="1" outlineLevel="1"/>
    <col min="18" max="18" width="4.5703125" hidden="1" customWidth="1" outlineLevel="1"/>
    <col min="19" max="19" width="14.28515625" hidden="1" customWidth="1" outlineLevel="1"/>
    <col min="20" max="20" width="4" hidden="1" customWidth="1" outlineLevel="1"/>
    <col min="21" max="21" width="4.5703125" hidden="1" customWidth="1" outlineLevel="1"/>
    <col min="22" max="22" width="5.5703125" hidden="1" customWidth="1" outlineLevel="1"/>
    <col min="23" max="23" width="4.5703125" hidden="1" customWidth="1" outlineLevel="1"/>
    <col min="24" max="24" width="29.85546875" hidden="1" customWidth="1" outlineLevel="1"/>
    <col min="25" max="25" width="13.85546875" bestFit="1" customWidth="1" collapsed="1"/>
    <col min="26" max="26" width="13.42578125" customWidth="1"/>
    <col min="27" max="27" width="21.140625" bestFit="1" customWidth="1"/>
    <col min="28" max="28" width="19.140625" bestFit="1" customWidth="1"/>
    <col min="29" max="29" width="19.140625" customWidth="1"/>
    <col min="30" max="30" width="12.42578125" customWidth="1"/>
    <col min="31" max="31" width="11.85546875" customWidth="1"/>
    <col min="32" max="34" width="14.42578125" customWidth="1"/>
    <col min="35" max="35" width="16.7109375" hidden="1" customWidth="1"/>
    <col min="36" max="36" width="24.85546875" bestFit="1" customWidth="1"/>
    <col min="37" max="38" width="12.5703125" hidden="1" customWidth="1"/>
    <col min="39" max="39" width="11.5703125" hidden="1" customWidth="1"/>
    <col min="42" max="42" width="11.5703125" bestFit="1" customWidth="1"/>
  </cols>
  <sheetData>
    <row r="1" spans="1:39" ht="15.75" x14ac:dyDescent="0.25">
      <c r="C1" s="47" t="s">
        <v>33</v>
      </c>
      <c r="D1" s="47"/>
      <c r="E1" s="47"/>
      <c r="F1" s="47"/>
    </row>
    <row r="2" spans="1:39" ht="9.75" customHeight="1" x14ac:dyDescent="0.25">
      <c r="C2" s="28"/>
      <c r="D2" s="28"/>
      <c r="E2" s="28"/>
      <c r="F2" s="28"/>
    </row>
    <row r="3" spans="1:39" x14ac:dyDescent="0.25">
      <c r="C3" s="45"/>
      <c r="D3" s="249"/>
      <c r="E3" s="249"/>
      <c r="F3" s="249"/>
    </row>
    <row r="4" spans="1:39" x14ac:dyDescent="0.25">
      <c r="C4" s="46"/>
      <c r="D4" s="250"/>
      <c r="E4" s="250"/>
      <c r="F4" s="250"/>
    </row>
    <row r="5" spans="1:39" x14ac:dyDescent="0.25">
      <c r="C5" s="43"/>
      <c r="D5" s="251"/>
      <c r="E5" s="251"/>
      <c r="F5" s="251"/>
    </row>
    <row r="6" spans="1:39" x14ac:dyDescent="0.25">
      <c r="C6" s="44"/>
      <c r="D6" s="28"/>
      <c r="E6" s="28"/>
      <c r="F6" s="28"/>
    </row>
    <row r="7" spans="1:39" x14ac:dyDescent="0.25">
      <c r="C7" s="122"/>
      <c r="D7" s="126"/>
      <c r="E7" s="126"/>
      <c r="F7" s="126"/>
      <c r="H7">
        <f>Detail!E2</f>
        <v>4</v>
      </c>
      <c r="J7">
        <f>Detail!F2</f>
        <v>5</v>
      </c>
      <c r="K7">
        <f>Detail!G2</f>
        <v>6</v>
      </c>
      <c r="L7">
        <f>Detail!H2</f>
        <v>7</v>
      </c>
      <c r="N7">
        <f>Detail!I2</f>
        <v>8</v>
      </c>
    </row>
    <row r="8" spans="1:39" x14ac:dyDescent="0.25">
      <c r="C8" s="149"/>
      <c r="D8" s="252"/>
      <c r="E8" s="252"/>
      <c r="F8" s="252"/>
    </row>
    <row r="10" spans="1:39" ht="15" customHeight="1" x14ac:dyDescent="0.25">
      <c r="A10" s="321" t="s">
        <v>78</v>
      </c>
      <c r="B10" s="320" t="s">
        <v>22</v>
      </c>
      <c r="C10" s="321" t="s">
        <v>1</v>
      </c>
      <c r="D10" s="325" t="s">
        <v>62</v>
      </c>
      <c r="E10" s="325" t="s">
        <v>201</v>
      </c>
      <c r="F10" s="325" t="s">
        <v>205</v>
      </c>
      <c r="G10" s="322" t="s">
        <v>55</v>
      </c>
      <c r="H10" s="320" t="str">
        <f>Detail!E3</f>
        <v>Qty</v>
      </c>
      <c r="I10" s="324" t="s">
        <v>59</v>
      </c>
      <c r="J10" s="320" t="str">
        <f>Detail!F3</f>
        <v>Harga</v>
      </c>
      <c r="K10" s="320" t="s">
        <v>29</v>
      </c>
      <c r="L10" s="320" t="s">
        <v>7</v>
      </c>
      <c r="M10" s="320" t="s">
        <v>28</v>
      </c>
      <c r="N10" s="320" t="str">
        <f>Detail!I3</f>
        <v>Margin</v>
      </c>
      <c r="O10" s="320" t="s">
        <v>19</v>
      </c>
      <c r="P10" s="324" t="s">
        <v>67</v>
      </c>
      <c r="Q10" s="336" t="s">
        <v>23</v>
      </c>
      <c r="R10" s="337"/>
      <c r="S10" s="337"/>
      <c r="T10" s="337"/>
      <c r="U10" s="337"/>
      <c r="V10" s="337"/>
      <c r="W10" s="338"/>
      <c r="X10" s="25"/>
      <c r="Y10" s="328" t="s">
        <v>52</v>
      </c>
      <c r="Z10" s="328" t="s">
        <v>34</v>
      </c>
      <c r="AA10" s="331" t="s">
        <v>8</v>
      </c>
      <c r="AB10" s="328" t="s">
        <v>198</v>
      </c>
      <c r="AC10" s="328" t="s">
        <v>197</v>
      </c>
      <c r="AD10" s="333" t="s">
        <v>54</v>
      </c>
      <c r="AE10" s="331" t="s">
        <v>53</v>
      </c>
      <c r="AF10" s="333" t="s">
        <v>159</v>
      </c>
      <c r="AG10" s="333" t="s">
        <v>182</v>
      </c>
      <c r="AH10" s="333" t="s">
        <v>169</v>
      </c>
      <c r="AI10" s="325" t="s">
        <v>62</v>
      </c>
      <c r="AJ10" s="325" t="s">
        <v>66</v>
      </c>
      <c r="AK10" s="320" t="s">
        <v>109</v>
      </c>
      <c r="AL10" s="335" t="s">
        <v>127</v>
      </c>
      <c r="AM10" s="320" t="s">
        <v>110</v>
      </c>
    </row>
    <row r="11" spans="1:39" ht="29.25" customHeight="1" x14ac:dyDescent="0.25">
      <c r="A11" s="321"/>
      <c r="B11" s="320"/>
      <c r="C11" s="321"/>
      <c r="D11" s="325"/>
      <c r="E11" s="325"/>
      <c r="F11" s="325"/>
      <c r="G11" s="323"/>
      <c r="H11" s="320"/>
      <c r="I11" s="323"/>
      <c r="J11" s="320"/>
      <c r="K11" s="320"/>
      <c r="L11" s="320"/>
      <c r="M11" s="320"/>
      <c r="N11" s="320"/>
      <c r="O11" s="320"/>
      <c r="P11" s="326"/>
      <c r="Q11" s="3" t="s">
        <v>20</v>
      </c>
      <c r="R11" s="3" t="s">
        <v>21</v>
      </c>
      <c r="S11" s="3" t="s">
        <v>24</v>
      </c>
      <c r="T11" s="3" t="s">
        <v>25</v>
      </c>
      <c r="U11" s="3" t="s">
        <v>26</v>
      </c>
      <c r="V11" s="3" t="s">
        <v>27</v>
      </c>
      <c r="W11" s="3" t="s">
        <v>158</v>
      </c>
      <c r="X11" s="26" t="s">
        <v>57</v>
      </c>
      <c r="Y11" s="329"/>
      <c r="Z11" s="330"/>
      <c r="AA11" s="332"/>
      <c r="AB11" s="330"/>
      <c r="AC11" s="330"/>
      <c r="AD11" s="334"/>
      <c r="AE11" s="332"/>
      <c r="AF11" s="334"/>
      <c r="AG11" s="334"/>
      <c r="AH11" s="334"/>
      <c r="AI11" s="325"/>
      <c r="AJ11" s="325" t="s">
        <v>66</v>
      </c>
      <c r="AK11" s="320"/>
      <c r="AL11" s="335"/>
      <c r="AM11" s="320"/>
    </row>
    <row r="12" spans="1:39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P12-AB12</f>
        <v>45000000</v>
      </c>
      <c r="F12" s="56">
        <f>L12-AC12</f>
        <v>225000000</v>
      </c>
      <c r="G12" s="53" t="s">
        <v>3</v>
      </c>
      <c r="H12" s="55">
        <f>SUMIF(Detail!$B$4:$B$21,'Summary V.4 (6)'!$C12,Detail!$E$4:$E$21)</f>
        <v>2</v>
      </c>
      <c r="I12" s="55"/>
      <c r="J12" s="55">
        <f>VLOOKUP($C12,Detail!$B$4:$Q$21,5,0)</f>
        <v>225000000</v>
      </c>
      <c r="K12" s="55">
        <f t="shared" ref="K12:K29" si="0">H12*J12</f>
        <v>450000000</v>
      </c>
      <c r="L12" s="55">
        <f>SUMIF(Detail!$B$4:$B$21,'Summary V.4 (6)'!C12,Detail!$H$4:$H$21)</f>
        <v>225000000</v>
      </c>
      <c r="M12" s="55">
        <f t="shared" ref="M12:M20" si="1">(L12*20%)/H12</f>
        <v>22500000</v>
      </c>
      <c r="N12" s="56">
        <f t="shared" ref="N12:N20" si="2">L12*20%</f>
        <v>45000000</v>
      </c>
      <c r="O12" s="56"/>
      <c r="P12" s="56">
        <f>SUM(N12:O12)</f>
        <v>45000000</v>
      </c>
      <c r="Q12" s="56">
        <f>H12</f>
        <v>2</v>
      </c>
      <c r="R12" s="53"/>
      <c r="S12" s="53"/>
      <c r="T12" s="53"/>
      <c r="U12" s="53"/>
      <c r="V12" s="53"/>
      <c r="W12" s="53"/>
      <c r="X12" s="53"/>
      <c r="Y12" s="56">
        <f t="shared" ref="Y12:Y43" si="3">SUM(Q12:V12)</f>
        <v>2</v>
      </c>
      <c r="Z12" s="56">
        <f t="shared" ref="Z12:Z27" si="4">H12-Y12</f>
        <v>0</v>
      </c>
      <c r="AA12" s="55">
        <f t="shared" ref="AA12:AA44" si="5">P12</f>
        <v>45000000</v>
      </c>
      <c r="AB12" s="56">
        <f t="shared" ref="AB12:AB26" si="6">N12-AA12</f>
        <v>0</v>
      </c>
      <c r="AC12" s="56"/>
      <c r="AD12" s="60">
        <v>45861</v>
      </c>
      <c r="AE12" s="60">
        <v>45863</v>
      </c>
      <c r="AF12" s="58">
        <v>45894</v>
      </c>
      <c r="AG12" s="58"/>
      <c r="AH12" s="58"/>
      <c r="AI12" s="53" t="s">
        <v>63</v>
      </c>
      <c r="AJ12" s="53"/>
      <c r="AK12" s="183">
        <f>VLOOKUP(C12,investasi!$B$5:$G$18,6,0)</f>
        <v>45000000</v>
      </c>
      <c r="AL12" s="184">
        <f t="shared" ref="AL12:AL27" si="7">P12</f>
        <v>45000000</v>
      </c>
      <c r="AM12" s="184">
        <f>AK12-AL12</f>
        <v>0</v>
      </c>
    </row>
    <row r="13" spans="1:39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44" si="8">P13-AB13</f>
        <v>67500000</v>
      </c>
      <c r="F13" s="56">
        <f t="shared" ref="F13:F44" si="9">L13-AC13</f>
        <v>337500000</v>
      </c>
      <c r="G13" s="53" t="s">
        <v>3</v>
      </c>
      <c r="H13" s="55">
        <f>SUMIF(Detail!$B$4:$B$21,'Summary V.4 (6)'!$C13,Detail!$E$4:$E$21)</f>
        <v>3</v>
      </c>
      <c r="I13" s="55"/>
      <c r="J13" s="55">
        <f>VLOOKUP($C13,Detail!$B$4:$Q$21,5,0)</f>
        <v>225000000</v>
      </c>
      <c r="K13" s="55">
        <f t="shared" si="0"/>
        <v>675000000</v>
      </c>
      <c r="L13" s="55">
        <f>SUMIF(Detail!$B$4:$B$21,'Summary V.4 (6)'!C13,Detail!$H$4:$H$21)</f>
        <v>337500000</v>
      </c>
      <c r="M13" s="55">
        <f t="shared" si="1"/>
        <v>22500000</v>
      </c>
      <c r="N13" s="56">
        <f t="shared" si="2"/>
        <v>67500000</v>
      </c>
      <c r="O13" s="56"/>
      <c r="P13" s="56">
        <f t="shared" ref="P13:P18" si="10">SUM(N13:O13)</f>
        <v>67500000</v>
      </c>
      <c r="Q13" s="56">
        <f>H13</f>
        <v>3</v>
      </c>
      <c r="R13" s="53"/>
      <c r="S13" s="53"/>
      <c r="T13" s="53"/>
      <c r="U13" s="53"/>
      <c r="V13" s="53"/>
      <c r="W13" s="53"/>
      <c r="X13" s="53"/>
      <c r="Y13" s="56">
        <f t="shared" si="3"/>
        <v>3</v>
      </c>
      <c r="Z13" s="56">
        <f t="shared" si="4"/>
        <v>0</v>
      </c>
      <c r="AA13" s="55">
        <f t="shared" si="5"/>
        <v>67500000</v>
      </c>
      <c r="AB13" s="56">
        <f t="shared" si="6"/>
        <v>0</v>
      </c>
      <c r="AC13" s="56"/>
      <c r="AD13" s="60">
        <v>45861</v>
      </c>
      <c r="AE13" s="60">
        <v>45863</v>
      </c>
      <c r="AF13" s="58">
        <v>45894</v>
      </c>
      <c r="AG13" s="58"/>
      <c r="AH13" s="58"/>
      <c r="AI13" s="53" t="s">
        <v>63</v>
      </c>
      <c r="AJ13" s="53"/>
      <c r="AK13" s="183">
        <f>VLOOKUP(C13,investasi!$B$5:$G$18,6,0)</f>
        <v>67500000</v>
      </c>
      <c r="AL13" s="184">
        <f t="shared" si="7"/>
        <v>67500000</v>
      </c>
      <c r="AM13" s="184">
        <f t="shared" ref="AM13:AM29" si="11">AK13-AL13</f>
        <v>0</v>
      </c>
    </row>
    <row r="14" spans="1:39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67500000</v>
      </c>
      <c r="F14" s="56">
        <f t="shared" si="9"/>
        <v>337500000</v>
      </c>
      <c r="G14" s="53" t="s">
        <v>3</v>
      </c>
      <c r="H14" s="55">
        <f>SUMIF(Detail!$B$4:$B$21,'Summary V.4 (6)'!$C14,Detail!$E$4:$E$21)</f>
        <v>3</v>
      </c>
      <c r="I14" s="55"/>
      <c r="J14" s="55">
        <f>VLOOKUP($C14,Detail!$B$4:$Q$21,5,0)</f>
        <v>225000000</v>
      </c>
      <c r="K14" s="55">
        <f t="shared" si="0"/>
        <v>675000000</v>
      </c>
      <c r="L14" s="55">
        <f>SUMIF(Detail!$B$4:$B$21,'Summary V.4 (6)'!C14,Detail!$H$4:$H$21)</f>
        <v>337500000</v>
      </c>
      <c r="M14" s="55">
        <f t="shared" si="1"/>
        <v>22500000</v>
      </c>
      <c r="N14" s="56">
        <f t="shared" si="2"/>
        <v>67500000</v>
      </c>
      <c r="O14" s="56"/>
      <c r="P14" s="56">
        <f t="shared" si="10"/>
        <v>67500000</v>
      </c>
      <c r="Q14" s="56">
        <f>H14</f>
        <v>3</v>
      </c>
      <c r="R14" s="53"/>
      <c r="S14" s="53"/>
      <c r="T14" s="53"/>
      <c r="U14" s="53"/>
      <c r="V14" s="53"/>
      <c r="W14" s="53"/>
      <c r="X14" s="53"/>
      <c r="Y14" s="56">
        <f t="shared" si="3"/>
        <v>3</v>
      </c>
      <c r="Z14" s="56">
        <f t="shared" si="4"/>
        <v>0</v>
      </c>
      <c r="AA14" s="55">
        <f t="shared" si="5"/>
        <v>67500000</v>
      </c>
      <c r="AB14" s="56">
        <f t="shared" si="6"/>
        <v>0</v>
      </c>
      <c r="AC14" s="56"/>
      <c r="AD14" s="60">
        <v>45861</v>
      </c>
      <c r="AE14" s="60">
        <v>45863</v>
      </c>
      <c r="AF14" s="58">
        <v>45894</v>
      </c>
      <c r="AG14" s="58"/>
      <c r="AH14" s="58"/>
      <c r="AI14" s="53" t="s">
        <v>63</v>
      </c>
      <c r="AJ14" s="53"/>
      <c r="AK14" s="183">
        <f>VLOOKUP(C14,investasi!$B$5:$G$18,6,0)</f>
        <v>67500000</v>
      </c>
      <c r="AL14" s="184">
        <f t="shared" si="7"/>
        <v>67500000</v>
      </c>
      <c r="AM14" s="184">
        <f t="shared" si="11"/>
        <v>0</v>
      </c>
    </row>
    <row r="15" spans="1:39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67500000</v>
      </c>
      <c r="F15" s="56">
        <f t="shared" si="9"/>
        <v>337500000</v>
      </c>
      <c r="G15" s="53" t="s">
        <v>3</v>
      </c>
      <c r="H15" s="55">
        <f>SUMIF(Detail!$B$4:$B$21,'Summary V.4 (6)'!$C15,Detail!$E$4:$E$21)</f>
        <v>3</v>
      </c>
      <c r="I15" s="55"/>
      <c r="J15" s="55">
        <f>VLOOKUP($C15,Detail!$B$4:$Q$21,5,0)</f>
        <v>225000000</v>
      </c>
      <c r="K15" s="55">
        <f t="shared" si="0"/>
        <v>675000000</v>
      </c>
      <c r="L15" s="55">
        <f>SUMIF(Detail!$B$4:$B$21,'Summary V.4 (6)'!C15,Detail!$H$4:$H$21)</f>
        <v>337500000</v>
      </c>
      <c r="M15" s="55">
        <f t="shared" si="1"/>
        <v>22500000</v>
      </c>
      <c r="N15" s="56">
        <f t="shared" si="2"/>
        <v>67500000</v>
      </c>
      <c r="O15" s="56"/>
      <c r="P15" s="56">
        <f t="shared" si="10"/>
        <v>67500000</v>
      </c>
      <c r="Q15" s="53"/>
      <c r="R15" s="56">
        <f>H15</f>
        <v>3</v>
      </c>
      <c r="S15" s="53"/>
      <c r="T15" s="53"/>
      <c r="U15" s="53"/>
      <c r="V15" s="53"/>
      <c r="W15" s="53"/>
      <c r="X15" s="53"/>
      <c r="Y15" s="56">
        <f t="shared" si="3"/>
        <v>3</v>
      </c>
      <c r="Z15" s="56">
        <f t="shared" si="4"/>
        <v>0</v>
      </c>
      <c r="AA15" s="55">
        <f t="shared" si="5"/>
        <v>67500000</v>
      </c>
      <c r="AB15" s="56">
        <f t="shared" si="6"/>
        <v>0</v>
      </c>
      <c r="AC15" s="56"/>
      <c r="AD15" s="60">
        <v>45868</v>
      </c>
      <c r="AE15" s="60">
        <v>45873</v>
      </c>
      <c r="AF15" s="58">
        <v>45904</v>
      </c>
      <c r="AG15" s="58"/>
      <c r="AH15" s="58"/>
      <c r="AI15" s="53" t="s">
        <v>63</v>
      </c>
      <c r="AJ15" s="53"/>
      <c r="AK15" s="183">
        <f>VLOOKUP(C15,investasi!$B$5:$G$18,6,0)</f>
        <v>67500000</v>
      </c>
      <c r="AL15" s="184">
        <f t="shared" si="7"/>
        <v>67500000</v>
      </c>
      <c r="AM15" s="184">
        <f t="shared" si="11"/>
        <v>0</v>
      </c>
    </row>
    <row r="16" spans="1:39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67500000</v>
      </c>
      <c r="F16" s="56">
        <f t="shared" si="9"/>
        <v>337500000</v>
      </c>
      <c r="G16" s="53" t="s">
        <v>3</v>
      </c>
      <c r="H16" s="55">
        <f>SUMIF(Detail!$B$4:$B$21,'Summary V.4 (6)'!$C16,Detail!$E$4:$E$21)</f>
        <v>3</v>
      </c>
      <c r="I16" s="55"/>
      <c r="J16" s="55">
        <f>VLOOKUP($C16,Detail!$B$4:$Q$21,5,0)</f>
        <v>225000000</v>
      </c>
      <c r="K16" s="55">
        <f t="shared" si="0"/>
        <v>675000000</v>
      </c>
      <c r="L16" s="55">
        <f>SUMIF(Detail!$B$4:$B$21,'Summary V.4 (6)'!C16,Detail!$H$4:$H$21)</f>
        <v>337500000</v>
      </c>
      <c r="M16" s="55">
        <f t="shared" si="1"/>
        <v>22500000</v>
      </c>
      <c r="N16" s="56">
        <f t="shared" si="2"/>
        <v>67500000</v>
      </c>
      <c r="O16" s="56"/>
      <c r="P16" s="56">
        <f t="shared" si="10"/>
        <v>67500000</v>
      </c>
      <c r="Q16" s="53"/>
      <c r="R16" s="56">
        <f>H16</f>
        <v>3</v>
      </c>
      <c r="S16" s="53"/>
      <c r="T16" s="53"/>
      <c r="U16" s="53"/>
      <c r="V16" s="53"/>
      <c r="W16" s="53"/>
      <c r="X16" s="53"/>
      <c r="Y16" s="56">
        <f t="shared" si="3"/>
        <v>3</v>
      </c>
      <c r="Z16" s="56">
        <f t="shared" si="4"/>
        <v>0</v>
      </c>
      <c r="AA16" s="55">
        <f t="shared" si="5"/>
        <v>67500000</v>
      </c>
      <c r="AB16" s="56">
        <f t="shared" si="6"/>
        <v>0</v>
      </c>
      <c r="AC16" s="56"/>
      <c r="AD16" s="60">
        <v>45868</v>
      </c>
      <c r="AE16" s="60">
        <v>45873</v>
      </c>
      <c r="AF16" s="58">
        <v>45904</v>
      </c>
      <c r="AG16" s="58"/>
      <c r="AH16" s="58"/>
      <c r="AI16" s="53" t="s">
        <v>63</v>
      </c>
      <c r="AJ16" s="53"/>
      <c r="AK16" s="183">
        <f>VLOOKUP(C16,investasi!$B$5:$G$18,6,0)</f>
        <v>67500000</v>
      </c>
      <c r="AL16" s="184">
        <f t="shared" si="7"/>
        <v>67500000</v>
      </c>
      <c r="AM16" s="184">
        <f t="shared" si="11"/>
        <v>0</v>
      </c>
    </row>
    <row r="17" spans="1:42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45000000</v>
      </c>
      <c r="F17" s="56">
        <f t="shared" si="9"/>
        <v>225000000</v>
      </c>
      <c r="G17" s="53" t="s">
        <v>3</v>
      </c>
      <c r="H17" s="55">
        <f>SUMIF(Detail!$B$4:$B$21,'Summary V.4 (6)'!$C17,Detail!$E$4:$E$21)</f>
        <v>2</v>
      </c>
      <c r="I17" s="55"/>
      <c r="J17" s="55">
        <f>VLOOKUP($C17,Detail!$B$4:$Q$21,5,0)</f>
        <v>225000000</v>
      </c>
      <c r="K17" s="55">
        <f t="shared" si="0"/>
        <v>450000000</v>
      </c>
      <c r="L17" s="55">
        <f>SUMIF(Detail!$B$4:$B$21,'Summary V.4 (6)'!C17,Detail!$H$4:$H$21)</f>
        <v>225000000</v>
      </c>
      <c r="M17" s="55">
        <f t="shared" si="1"/>
        <v>22500000</v>
      </c>
      <c r="N17" s="56">
        <f t="shared" si="2"/>
        <v>45000000</v>
      </c>
      <c r="O17" s="56"/>
      <c r="P17" s="56">
        <f t="shared" si="10"/>
        <v>45000000</v>
      </c>
      <c r="Q17" s="53"/>
      <c r="R17" s="56">
        <f>H17</f>
        <v>2</v>
      </c>
      <c r="S17" s="53"/>
      <c r="T17" s="53"/>
      <c r="U17" s="53"/>
      <c r="V17" s="53"/>
      <c r="W17" s="53"/>
      <c r="X17" s="53"/>
      <c r="Y17" s="56">
        <f t="shared" si="3"/>
        <v>2</v>
      </c>
      <c r="Z17" s="56">
        <f t="shared" si="4"/>
        <v>0</v>
      </c>
      <c r="AA17" s="55">
        <f t="shared" si="5"/>
        <v>45000000</v>
      </c>
      <c r="AB17" s="56">
        <f t="shared" si="6"/>
        <v>0</v>
      </c>
      <c r="AC17" s="56"/>
      <c r="AD17" s="60">
        <v>45868</v>
      </c>
      <c r="AE17" s="60">
        <v>45873</v>
      </c>
      <c r="AF17" s="58">
        <v>45904</v>
      </c>
      <c r="AG17" s="58"/>
      <c r="AH17" s="58"/>
      <c r="AI17" s="53" t="s">
        <v>63</v>
      </c>
      <c r="AJ17" s="53"/>
      <c r="AK17" s="183">
        <f>VLOOKUP(C17,investasi!$B$5:$G$18,6,0)</f>
        <v>45000000</v>
      </c>
      <c r="AL17" s="184">
        <f t="shared" si="7"/>
        <v>45000000</v>
      </c>
      <c r="AM17" s="184">
        <f t="shared" si="11"/>
        <v>0</v>
      </c>
    </row>
    <row r="18" spans="1:42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45000000</v>
      </c>
      <c r="F18" s="56">
        <f t="shared" si="9"/>
        <v>225000000</v>
      </c>
      <c r="G18" s="53" t="s">
        <v>3</v>
      </c>
      <c r="H18" s="55">
        <f>SUMIF(Detail!$B$4:$B$21,'Summary V.4 (6)'!$C18,Detail!$E$4:$E$21)</f>
        <v>2</v>
      </c>
      <c r="I18" s="55"/>
      <c r="J18" s="55">
        <f>VLOOKUP($C18,Detail!$B$4:$Q$21,5,0)</f>
        <v>225000000</v>
      </c>
      <c r="K18" s="55">
        <f t="shared" si="0"/>
        <v>450000000</v>
      </c>
      <c r="L18" s="55">
        <f>SUMIF(Detail!$B$4:$B$21,'Summary V.4 (6)'!C18,Detail!$H$4:$H$21)</f>
        <v>225000000</v>
      </c>
      <c r="M18" s="55">
        <f t="shared" si="1"/>
        <v>22500000</v>
      </c>
      <c r="N18" s="56">
        <f t="shared" si="2"/>
        <v>45000000</v>
      </c>
      <c r="O18" s="56"/>
      <c r="P18" s="56">
        <f t="shared" si="10"/>
        <v>45000000</v>
      </c>
      <c r="Q18" s="53"/>
      <c r="R18" s="56">
        <f>H18</f>
        <v>2</v>
      </c>
      <c r="S18" s="53"/>
      <c r="T18" s="53"/>
      <c r="U18" s="53"/>
      <c r="V18" s="53"/>
      <c r="W18" s="53"/>
      <c r="X18" s="53"/>
      <c r="Y18" s="56">
        <f t="shared" si="3"/>
        <v>2</v>
      </c>
      <c r="Z18" s="56">
        <f t="shared" si="4"/>
        <v>0</v>
      </c>
      <c r="AA18" s="55">
        <f t="shared" si="5"/>
        <v>45000000</v>
      </c>
      <c r="AB18" s="56">
        <f t="shared" si="6"/>
        <v>0</v>
      </c>
      <c r="AC18" s="56"/>
      <c r="AD18" s="60">
        <v>45868</v>
      </c>
      <c r="AE18" s="60">
        <v>45873</v>
      </c>
      <c r="AF18" s="58">
        <v>45904</v>
      </c>
      <c r="AG18" s="58"/>
      <c r="AH18" s="58"/>
      <c r="AI18" s="53" t="s">
        <v>63</v>
      </c>
      <c r="AJ18" s="53"/>
      <c r="AK18" s="183">
        <f>VLOOKUP(C18,investasi!$B$5:$G$18,6,0)</f>
        <v>45000000</v>
      </c>
      <c r="AL18" s="184">
        <f t="shared" si="7"/>
        <v>45000000</v>
      </c>
      <c r="AM18" s="184">
        <f t="shared" si="11"/>
        <v>0</v>
      </c>
    </row>
    <row r="19" spans="1:42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114919900</v>
      </c>
      <c r="F19" s="56">
        <f t="shared" si="9"/>
        <v>574599500</v>
      </c>
      <c r="G19" s="53" t="s">
        <v>44</v>
      </c>
      <c r="H19" s="55">
        <f>SUMIF(Detail!$B$4:$B$25,'Summary V.4 (6)'!$C19,Detail!$E$4:$E$25)</f>
        <v>1</v>
      </c>
      <c r="I19" s="55"/>
      <c r="J19" s="55">
        <f>VLOOKUP($C19,Detail!$B$4:$Q$25,5,0)</f>
        <v>1149199000</v>
      </c>
      <c r="K19" s="55">
        <f t="shared" si="0"/>
        <v>1149199000</v>
      </c>
      <c r="L19" s="55">
        <f>SUMIF(Detail!$B$4:$B$25,'Summary V.4 (6)'!C19,Detail!$H$4:$H$25)</f>
        <v>574599500</v>
      </c>
      <c r="M19" s="55">
        <f t="shared" si="1"/>
        <v>114919900</v>
      </c>
      <c r="N19" s="56">
        <f t="shared" si="2"/>
        <v>114919900</v>
      </c>
      <c r="O19" s="56"/>
      <c r="P19" s="56">
        <f>SUM(N19:O19)</f>
        <v>114919900</v>
      </c>
      <c r="Q19" s="53"/>
      <c r="R19" s="56">
        <v>0</v>
      </c>
      <c r="S19" s="53">
        <v>1</v>
      </c>
      <c r="T19" s="53"/>
      <c r="U19" s="53"/>
      <c r="V19" s="53"/>
      <c r="W19" s="53"/>
      <c r="X19" s="53"/>
      <c r="Y19" s="56">
        <f t="shared" si="3"/>
        <v>1</v>
      </c>
      <c r="Z19" s="56">
        <f t="shared" si="4"/>
        <v>0</v>
      </c>
      <c r="AA19" s="55">
        <f t="shared" si="5"/>
        <v>114919900</v>
      </c>
      <c r="AB19" s="56">
        <f t="shared" si="6"/>
        <v>0</v>
      </c>
      <c r="AC19" s="56"/>
      <c r="AD19" s="60">
        <v>45930</v>
      </c>
      <c r="AE19" s="60">
        <f>AD19+7</f>
        <v>45937</v>
      </c>
      <c r="AF19" s="58">
        <f>AE19+30</f>
        <v>45967</v>
      </c>
      <c r="AG19" s="58">
        <f>AE19+60</f>
        <v>45997</v>
      </c>
      <c r="AH19" s="58"/>
      <c r="AI19" s="53" t="s">
        <v>63</v>
      </c>
      <c r="AJ19" s="53"/>
      <c r="AK19" s="183">
        <f>VLOOKUP(C19,investasi!$B$5:$G$18,6,0)</f>
        <v>57248700</v>
      </c>
      <c r="AL19" s="184">
        <f t="shared" si="7"/>
        <v>114919900</v>
      </c>
      <c r="AM19" s="184">
        <f t="shared" si="11"/>
        <v>-57671200</v>
      </c>
      <c r="AN19" s="59" t="s">
        <v>128</v>
      </c>
    </row>
    <row r="20" spans="1:42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45000000</v>
      </c>
      <c r="F20" s="56">
        <f t="shared" si="9"/>
        <v>225000000</v>
      </c>
      <c r="G20" s="53" t="s">
        <v>3</v>
      </c>
      <c r="H20" s="55">
        <f>SUMIF(Detail!$B$4:$B$25,'Summary V.4 (6)'!$C20,Detail!$E$4:$E$25)</f>
        <v>2</v>
      </c>
      <c r="I20" s="55"/>
      <c r="J20" s="55">
        <f>VLOOKUP($C20,Detail!$B$4:$Q$25,5,0)</f>
        <v>225000000</v>
      </c>
      <c r="K20" s="55">
        <f t="shared" si="0"/>
        <v>450000000</v>
      </c>
      <c r="L20" s="55">
        <f>SUMIF(Detail!$B$4:$B$25,'Summary V.4 (6)'!C20,Detail!$H$4:$H$25)</f>
        <v>225000000</v>
      </c>
      <c r="M20" s="55">
        <f t="shared" si="1"/>
        <v>22500000</v>
      </c>
      <c r="N20" s="56">
        <f t="shared" si="2"/>
        <v>45000000</v>
      </c>
      <c r="O20" s="56"/>
      <c r="P20" s="56">
        <f t="shared" ref="P20:P36" si="12">SUM(N20:O20)</f>
        <v>45000000</v>
      </c>
      <c r="Q20" s="53"/>
      <c r="R20" s="56">
        <v>0</v>
      </c>
      <c r="S20" s="53">
        <v>2</v>
      </c>
      <c r="T20" s="53"/>
      <c r="U20" s="53"/>
      <c r="V20" s="53"/>
      <c r="W20" s="53"/>
      <c r="X20" s="53"/>
      <c r="Y20" s="56">
        <f t="shared" si="3"/>
        <v>2</v>
      </c>
      <c r="Z20" s="56">
        <f t="shared" si="4"/>
        <v>0</v>
      </c>
      <c r="AA20" s="55">
        <f t="shared" si="5"/>
        <v>45000000</v>
      </c>
      <c r="AB20" s="56">
        <f t="shared" si="6"/>
        <v>0</v>
      </c>
      <c r="AC20" s="56"/>
      <c r="AD20" s="60">
        <v>45923</v>
      </c>
      <c r="AE20" s="60">
        <f t="shared" ref="AE20:AE27" si="13">AD20+7</f>
        <v>45930</v>
      </c>
      <c r="AF20" s="58">
        <f t="shared" ref="AF20:AF27" si="14">AE20+30</f>
        <v>45960</v>
      </c>
      <c r="AG20" s="58">
        <f t="shared" ref="AG20:AG27" si="15">AE20+60</f>
        <v>45990</v>
      </c>
      <c r="AH20" s="58"/>
      <c r="AI20" s="53" t="s">
        <v>63</v>
      </c>
      <c r="AJ20" s="53"/>
      <c r="AK20" s="183">
        <f>VLOOKUP(C20,investasi!$B$5:$G$18,6,0)</f>
        <v>45000000</v>
      </c>
      <c r="AL20" s="184">
        <f t="shared" si="7"/>
        <v>45000000</v>
      </c>
      <c r="AM20" s="184">
        <f t="shared" si="11"/>
        <v>0</v>
      </c>
    </row>
    <row r="21" spans="1:42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52594750</v>
      </c>
      <c r="F21" s="56">
        <f t="shared" si="9"/>
        <v>404575000</v>
      </c>
      <c r="G21" s="53" t="s">
        <v>50</v>
      </c>
      <c r="H21" s="55">
        <v>20</v>
      </c>
      <c r="I21" s="55"/>
      <c r="J21" s="55">
        <f>VLOOKUP($C21,Detail!$B$4:$Q$25,5,0)</f>
        <v>40457500</v>
      </c>
      <c r="K21" s="55">
        <f t="shared" si="0"/>
        <v>809150000</v>
      </c>
      <c r="L21" s="55">
        <f t="shared" ref="L21:L44" si="16">K21*50%</f>
        <v>404575000</v>
      </c>
      <c r="M21" s="55">
        <f>(L21*13%)/H21</f>
        <v>2629737.5</v>
      </c>
      <c r="N21" s="56">
        <f>L21*13%</f>
        <v>52594750</v>
      </c>
      <c r="O21" s="56"/>
      <c r="P21" s="56">
        <f t="shared" si="12"/>
        <v>52594750</v>
      </c>
      <c r="Q21" s="53"/>
      <c r="R21" s="56">
        <v>0</v>
      </c>
      <c r="S21" s="53"/>
      <c r="T21" s="53">
        <v>20</v>
      </c>
      <c r="U21" s="53"/>
      <c r="V21" s="53"/>
      <c r="W21" s="53"/>
      <c r="X21" s="53"/>
      <c r="Y21" s="56">
        <f t="shared" si="3"/>
        <v>20</v>
      </c>
      <c r="Z21" s="56">
        <f t="shared" si="4"/>
        <v>0</v>
      </c>
      <c r="AA21" s="55">
        <f t="shared" si="5"/>
        <v>52594750</v>
      </c>
      <c r="AB21" s="56">
        <f t="shared" si="6"/>
        <v>0</v>
      </c>
      <c r="AC21" s="56"/>
      <c r="AD21" s="60">
        <v>45922</v>
      </c>
      <c r="AE21" s="60">
        <f t="shared" si="13"/>
        <v>45929</v>
      </c>
      <c r="AF21" s="58">
        <f t="shared" si="14"/>
        <v>45959</v>
      </c>
      <c r="AG21" s="58">
        <f t="shared" si="15"/>
        <v>45989</v>
      </c>
      <c r="AH21" s="58"/>
      <c r="AI21" s="53" t="s">
        <v>63</v>
      </c>
      <c r="AJ21" s="53"/>
      <c r="AK21" s="183">
        <f>VLOOKUP(C21,investasi!$B$5:$G$18,6,0)</f>
        <v>52594750</v>
      </c>
      <c r="AL21" s="184">
        <f t="shared" si="7"/>
        <v>52594750</v>
      </c>
      <c r="AM21" s="184">
        <f t="shared" si="11"/>
        <v>0</v>
      </c>
    </row>
    <row r="22" spans="1:42" s="282" customFormat="1" x14ac:dyDescent="0.25">
      <c r="A22" s="272">
        <v>11</v>
      </c>
      <c r="B22" s="273">
        <f>Detail!$C$45</f>
        <v>45891</v>
      </c>
      <c r="C22" s="272">
        <f>Detail!$B$45</f>
        <v>5200972695</v>
      </c>
      <c r="D22" s="274" t="s">
        <v>63</v>
      </c>
      <c r="E22" s="56">
        <f t="shared" si="8"/>
        <v>102000000</v>
      </c>
      <c r="F22" s="56">
        <f t="shared" si="9"/>
        <v>402000000</v>
      </c>
      <c r="G22" s="274" t="s">
        <v>56</v>
      </c>
      <c r="H22" s="276">
        <v>8</v>
      </c>
      <c r="I22" s="276">
        <v>75000000</v>
      </c>
      <c r="J22" s="276">
        <v>100500000</v>
      </c>
      <c r="K22" s="276">
        <f t="shared" si="0"/>
        <v>804000000</v>
      </c>
      <c r="L22" s="276">
        <f t="shared" si="16"/>
        <v>402000000</v>
      </c>
      <c r="M22" s="276">
        <v>12750000</v>
      </c>
      <c r="N22" s="283">
        <f>H22*M22</f>
        <v>102000000</v>
      </c>
      <c r="O22" s="275"/>
      <c r="P22" s="275">
        <f t="shared" si="12"/>
        <v>102000000</v>
      </c>
      <c r="Q22" s="274"/>
      <c r="R22" s="275">
        <v>0</v>
      </c>
      <c r="S22" s="274">
        <v>8</v>
      </c>
      <c r="T22" s="274"/>
      <c r="U22" s="274"/>
      <c r="V22" s="274"/>
      <c r="W22" s="274"/>
      <c r="X22" s="274" t="s">
        <v>58</v>
      </c>
      <c r="Y22" s="275">
        <f t="shared" si="3"/>
        <v>8</v>
      </c>
      <c r="Z22" s="275">
        <f t="shared" si="4"/>
        <v>0</v>
      </c>
      <c r="AA22" s="276">
        <f t="shared" si="5"/>
        <v>102000000</v>
      </c>
      <c r="AB22" s="275">
        <f t="shared" si="6"/>
        <v>0</v>
      </c>
      <c r="AC22" s="275"/>
      <c r="AD22" s="273">
        <v>45925</v>
      </c>
      <c r="AE22" s="277">
        <f t="shared" si="13"/>
        <v>45932</v>
      </c>
      <c r="AF22" s="278">
        <f t="shared" si="14"/>
        <v>45962</v>
      </c>
      <c r="AG22" s="279">
        <f t="shared" si="15"/>
        <v>45992</v>
      </c>
      <c r="AH22" s="279"/>
      <c r="AI22" s="274" t="s">
        <v>63</v>
      </c>
      <c r="AJ22" s="274"/>
      <c r="AK22" s="280">
        <f>VLOOKUP(C22,investasi!$B$5:$G$18,6,0)</f>
        <v>80400000</v>
      </c>
      <c r="AL22" s="281">
        <f t="shared" si="7"/>
        <v>102000000</v>
      </c>
      <c r="AM22" s="281">
        <f t="shared" si="11"/>
        <v>-21600000</v>
      </c>
      <c r="AN22" s="282" t="s">
        <v>113</v>
      </c>
      <c r="AP22" s="280">
        <v>21600000</v>
      </c>
    </row>
    <row r="23" spans="1:42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68500000</v>
      </c>
      <c r="F23" s="56">
        <f t="shared" si="9"/>
        <v>342500000</v>
      </c>
      <c r="G23" s="59" t="s">
        <v>61</v>
      </c>
      <c r="H23" s="55">
        <v>1</v>
      </c>
      <c r="I23" s="55"/>
      <c r="J23" s="55">
        <f>Detail!F53</f>
        <v>685000000</v>
      </c>
      <c r="K23" s="55">
        <f t="shared" si="0"/>
        <v>685000000</v>
      </c>
      <c r="L23" s="55">
        <f t="shared" si="16"/>
        <v>342500000</v>
      </c>
      <c r="M23" s="55">
        <f t="shared" ref="M23:M35" si="17">(L23*20%)/H23</f>
        <v>68500000</v>
      </c>
      <c r="N23" s="56">
        <f t="shared" ref="N23:N26" si="18">L23*20%</f>
        <v>68500000</v>
      </c>
      <c r="O23" s="56"/>
      <c r="P23" s="56">
        <f t="shared" si="12"/>
        <v>68500000</v>
      </c>
      <c r="Q23" s="53"/>
      <c r="R23" s="56"/>
      <c r="S23" s="53">
        <v>1</v>
      </c>
      <c r="T23" s="53"/>
      <c r="U23" s="53"/>
      <c r="V23" s="53"/>
      <c r="W23" s="53"/>
      <c r="X23" s="53"/>
      <c r="Y23" s="56">
        <f t="shared" si="3"/>
        <v>1</v>
      </c>
      <c r="Z23" s="56">
        <f t="shared" si="4"/>
        <v>0</v>
      </c>
      <c r="AA23" s="55">
        <f t="shared" si="5"/>
        <v>68500000</v>
      </c>
      <c r="AB23" s="56">
        <f t="shared" si="6"/>
        <v>0</v>
      </c>
      <c r="AC23" s="56"/>
      <c r="AD23" s="60">
        <v>45923</v>
      </c>
      <c r="AE23" s="218">
        <f t="shared" si="13"/>
        <v>45930</v>
      </c>
      <c r="AF23" s="182">
        <f t="shared" si="14"/>
        <v>45960</v>
      </c>
      <c r="AG23" s="58">
        <f t="shared" si="15"/>
        <v>45990</v>
      </c>
      <c r="AH23" s="58"/>
      <c r="AI23" s="53" t="s">
        <v>63</v>
      </c>
      <c r="AJ23" s="53"/>
      <c r="AK23" s="183">
        <f>VLOOKUP(C23,investasi!$B$5:$G$18,6,0)</f>
        <v>68500000</v>
      </c>
      <c r="AL23" s="184">
        <f t="shared" si="7"/>
        <v>68500000</v>
      </c>
      <c r="AM23" s="184">
        <f t="shared" si="11"/>
        <v>0</v>
      </c>
    </row>
    <row r="24" spans="1:42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45000000</v>
      </c>
      <c r="F24" s="56">
        <f t="shared" si="9"/>
        <v>225000000</v>
      </c>
      <c r="G24" s="53" t="s">
        <v>3</v>
      </c>
      <c r="H24" s="55">
        <v>2</v>
      </c>
      <c r="I24" s="55"/>
      <c r="J24" s="55">
        <f>Detail!F54</f>
        <v>225000000</v>
      </c>
      <c r="K24" s="55">
        <f t="shared" si="0"/>
        <v>450000000</v>
      </c>
      <c r="L24" s="55">
        <f t="shared" si="16"/>
        <v>225000000</v>
      </c>
      <c r="M24" s="55">
        <f t="shared" si="17"/>
        <v>22500000</v>
      </c>
      <c r="N24" s="56">
        <f>L24*20%</f>
        <v>45000000</v>
      </c>
      <c r="O24" s="56"/>
      <c r="P24" s="56">
        <f t="shared" si="12"/>
        <v>45000000</v>
      </c>
      <c r="Q24" s="53"/>
      <c r="R24" s="56"/>
      <c r="S24" s="53">
        <v>2</v>
      </c>
      <c r="T24" s="53"/>
      <c r="U24" s="53"/>
      <c r="V24" s="53"/>
      <c r="W24" s="53"/>
      <c r="X24" s="53"/>
      <c r="Y24" s="56">
        <f t="shared" si="3"/>
        <v>2</v>
      </c>
      <c r="Z24" s="56">
        <f t="shared" si="4"/>
        <v>0</v>
      </c>
      <c r="AA24" s="55">
        <f t="shared" si="5"/>
        <v>45000000</v>
      </c>
      <c r="AB24" s="56">
        <f t="shared" si="6"/>
        <v>0</v>
      </c>
      <c r="AC24" s="56"/>
      <c r="AD24" s="218">
        <v>45925</v>
      </c>
      <c r="AE24" s="218">
        <f t="shared" si="13"/>
        <v>45932</v>
      </c>
      <c r="AF24" s="182">
        <f t="shared" si="14"/>
        <v>45962</v>
      </c>
      <c r="AG24" s="58">
        <f t="shared" si="15"/>
        <v>45992</v>
      </c>
      <c r="AH24" s="58"/>
      <c r="AI24" s="53" t="s">
        <v>63</v>
      </c>
      <c r="AJ24" s="55"/>
      <c r="AK24" s="183">
        <f>VLOOKUP(C24,investasi!$B$5:$G$18,6,0)</f>
        <v>45000000</v>
      </c>
      <c r="AL24" s="184">
        <f t="shared" si="7"/>
        <v>45000000</v>
      </c>
      <c r="AM24" s="184">
        <f t="shared" si="11"/>
        <v>0</v>
      </c>
    </row>
    <row r="25" spans="1:42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223104820</v>
      </c>
      <c r="F25" s="56">
        <f t="shared" si="9"/>
        <v>1115524100</v>
      </c>
      <c r="G25" s="53" t="s">
        <v>64</v>
      </c>
      <c r="H25" s="55">
        <v>1</v>
      </c>
      <c r="I25" s="55"/>
      <c r="J25" s="55">
        <f>Detail!F56</f>
        <v>2231048200</v>
      </c>
      <c r="K25" s="55">
        <f t="shared" si="0"/>
        <v>2231048200</v>
      </c>
      <c r="L25" s="55">
        <f t="shared" si="16"/>
        <v>1115524100</v>
      </c>
      <c r="M25" s="55">
        <f t="shared" si="17"/>
        <v>223104820</v>
      </c>
      <c r="N25" s="56">
        <f t="shared" si="18"/>
        <v>223104820</v>
      </c>
      <c r="O25" s="56"/>
      <c r="P25" s="56">
        <f t="shared" si="12"/>
        <v>223104820</v>
      </c>
      <c r="Q25" s="53"/>
      <c r="R25" s="56"/>
      <c r="S25" s="53">
        <v>1</v>
      </c>
      <c r="T25" s="53"/>
      <c r="U25" s="53"/>
      <c r="V25" s="53"/>
      <c r="W25" s="53"/>
      <c r="X25" s="53"/>
      <c r="Y25" s="56">
        <f t="shared" si="3"/>
        <v>1</v>
      </c>
      <c r="Z25" s="56">
        <f t="shared" si="4"/>
        <v>0</v>
      </c>
      <c r="AA25" s="55">
        <f t="shared" si="5"/>
        <v>223104820</v>
      </c>
      <c r="AB25" s="56">
        <f t="shared" si="6"/>
        <v>0</v>
      </c>
      <c r="AC25" s="56"/>
      <c r="AD25" s="218">
        <v>45930</v>
      </c>
      <c r="AE25" s="218">
        <f t="shared" si="13"/>
        <v>45937</v>
      </c>
      <c r="AF25" s="182">
        <f t="shared" si="14"/>
        <v>45967</v>
      </c>
      <c r="AG25" s="58">
        <f t="shared" si="15"/>
        <v>45997</v>
      </c>
      <c r="AH25" s="58"/>
      <c r="AI25" s="53" t="s">
        <v>63</v>
      </c>
      <c r="AJ25" s="53"/>
      <c r="AK25" s="183">
        <f>VLOOKUP(C25,investasi!$B$5:$G$18,6,0)</f>
        <v>223104820</v>
      </c>
      <c r="AL25" s="184">
        <f t="shared" si="7"/>
        <v>223104820</v>
      </c>
      <c r="AM25" s="184">
        <f t="shared" si="11"/>
        <v>0</v>
      </c>
    </row>
    <row r="26" spans="1:42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45000000</v>
      </c>
      <c r="F26" s="56">
        <f t="shared" si="9"/>
        <v>225000000</v>
      </c>
      <c r="G26" s="53" t="str">
        <f>Detail!$D$58</f>
        <v>Top Frame 800</v>
      </c>
      <c r="H26" s="55">
        <v>2</v>
      </c>
      <c r="I26" s="55"/>
      <c r="J26" s="55">
        <f>Detail!$F$58</f>
        <v>225000000</v>
      </c>
      <c r="K26" s="55">
        <f t="shared" si="0"/>
        <v>450000000</v>
      </c>
      <c r="L26" s="55">
        <f t="shared" si="16"/>
        <v>225000000</v>
      </c>
      <c r="M26" s="55">
        <f t="shared" si="17"/>
        <v>22500000</v>
      </c>
      <c r="N26" s="283">
        <f t="shared" si="18"/>
        <v>45000000</v>
      </c>
      <c r="O26" s="56"/>
      <c r="P26" s="56">
        <f t="shared" si="12"/>
        <v>45000000</v>
      </c>
      <c r="Q26" s="53"/>
      <c r="R26" s="56"/>
      <c r="S26" s="53">
        <v>2</v>
      </c>
      <c r="T26" s="53"/>
      <c r="U26" s="53"/>
      <c r="V26" s="53"/>
      <c r="W26" s="53"/>
      <c r="X26" s="53"/>
      <c r="Y26" s="56">
        <f t="shared" si="3"/>
        <v>2</v>
      </c>
      <c r="Z26" s="56">
        <f t="shared" si="4"/>
        <v>0</v>
      </c>
      <c r="AA26" s="55">
        <f t="shared" si="5"/>
        <v>45000000</v>
      </c>
      <c r="AB26" s="56">
        <f t="shared" si="6"/>
        <v>0</v>
      </c>
      <c r="AC26" s="56"/>
      <c r="AD26" s="218">
        <v>45940</v>
      </c>
      <c r="AE26" s="218">
        <f t="shared" si="13"/>
        <v>45947</v>
      </c>
      <c r="AF26" s="182">
        <f t="shared" si="14"/>
        <v>45977</v>
      </c>
      <c r="AG26" s="58">
        <f t="shared" si="15"/>
        <v>46007</v>
      </c>
      <c r="AH26" s="58"/>
      <c r="AI26" s="53" t="s">
        <v>63</v>
      </c>
      <c r="AJ26" s="53"/>
      <c r="AK26" s="183">
        <f>VLOOKUP(C26,investasi!$B$23:$G$26,6,0)</f>
        <v>45000000</v>
      </c>
      <c r="AL26" s="184">
        <f t="shared" si="7"/>
        <v>45000000</v>
      </c>
      <c r="AM26" s="184">
        <f t="shared" si="11"/>
        <v>0</v>
      </c>
    </row>
    <row r="27" spans="1:42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134761000</v>
      </c>
      <c r="F27" s="56">
        <f t="shared" si="9"/>
        <v>342500000</v>
      </c>
      <c r="G27" s="53" t="s">
        <v>61</v>
      </c>
      <c r="H27" s="55">
        <v>1</v>
      </c>
      <c r="I27" s="55"/>
      <c r="J27" s="55">
        <f>Detail!F59</f>
        <v>685000000</v>
      </c>
      <c r="K27" s="55">
        <f t="shared" si="0"/>
        <v>685000000</v>
      </c>
      <c r="L27" s="55">
        <f t="shared" si="16"/>
        <v>342500000</v>
      </c>
      <c r="M27" s="55">
        <f t="shared" si="17"/>
        <v>68500000</v>
      </c>
      <c r="N27" s="283">
        <f>(L27*20%)+I27</f>
        <v>68500000</v>
      </c>
      <c r="O27" s="56">
        <v>66261000</v>
      </c>
      <c r="P27" s="56">
        <f t="shared" si="12"/>
        <v>134761000</v>
      </c>
      <c r="Q27" s="53"/>
      <c r="R27" s="56"/>
      <c r="S27" s="53">
        <v>1</v>
      </c>
      <c r="T27" s="53"/>
      <c r="U27" s="53"/>
      <c r="V27" s="53"/>
      <c r="W27" s="53"/>
      <c r="X27" s="53"/>
      <c r="Y27" s="56">
        <f t="shared" si="3"/>
        <v>1</v>
      </c>
      <c r="Z27" s="56">
        <f t="shared" si="4"/>
        <v>0</v>
      </c>
      <c r="AA27" s="55">
        <f t="shared" si="5"/>
        <v>134761000</v>
      </c>
      <c r="AB27" s="56">
        <f>N27+O27-AA27</f>
        <v>0</v>
      </c>
      <c r="AC27" s="56"/>
      <c r="AD27" s="218">
        <v>45940</v>
      </c>
      <c r="AE27" s="218">
        <f t="shared" si="13"/>
        <v>45947</v>
      </c>
      <c r="AF27" s="182">
        <f t="shared" si="14"/>
        <v>45977</v>
      </c>
      <c r="AG27" s="58">
        <f t="shared" si="15"/>
        <v>46007</v>
      </c>
      <c r="AH27" s="58"/>
      <c r="AI27" s="53" t="s">
        <v>63</v>
      </c>
      <c r="AJ27" s="53"/>
      <c r="AK27" s="183">
        <f>VLOOKUP(C27,investasi!$B$23:$G$26,6,0)+investasi!I24</f>
        <v>134761000</v>
      </c>
      <c r="AL27" s="184">
        <f t="shared" si="7"/>
        <v>134761000</v>
      </c>
      <c r="AM27" s="184">
        <f t="shared" si="11"/>
        <v>0</v>
      </c>
    </row>
    <row r="28" spans="1:42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6">
        <f t="shared" si="9"/>
        <v>0</v>
      </c>
      <c r="G28" s="53"/>
      <c r="H28" s="55"/>
      <c r="I28" s="55"/>
      <c r="J28" s="55"/>
      <c r="K28" s="55"/>
      <c r="L28" s="55"/>
      <c r="M28" s="55"/>
      <c r="N28" s="56"/>
      <c r="O28" s="56"/>
      <c r="P28" s="56"/>
      <c r="Q28" s="53"/>
      <c r="R28" s="56"/>
      <c r="S28" s="53"/>
      <c r="T28" s="53"/>
      <c r="U28" s="53"/>
      <c r="V28" s="53"/>
      <c r="W28" s="53"/>
      <c r="X28" s="53"/>
      <c r="Y28" s="56">
        <f t="shared" si="3"/>
        <v>0</v>
      </c>
      <c r="Z28" s="56"/>
      <c r="AA28" s="55">
        <f t="shared" si="5"/>
        <v>0</v>
      </c>
      <c r="AB28" s="56"/>
      <c r="AC28" s="56"/>
      <c r="AD28" s="218"/>
      <c r="AE28" s="218"/>
      <c r="AF28" s="182"/>
      <c r="AG28" s="58"/>
      <c r="AH28" s="58"/>
      <c r="AI28" s="53" t="s">
        <v>63</v>
      </c>
      <c r="AJ28" s="53"/>
      <c r="AK28" s="183"/>
      <c r="AL28" s="184"/>
    </row>
    <row r="29" spans="1:42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134761000</v>
      </c>
      <c r="F29" s="56">
        <f t="shared" si="9"/>
        <v>342500000</v>
      </c>
      <c r="G29" s="53" t="s">
        <v>61</v>
      </c>
      <c r="H29" s="55">
        <v>1</v>
      </c>
      <c r="I29" s="55"/>
      <c r="J29" s="55">
        <f>Detail!F60</f>
        <v>685000000</v>
      </c>
      <c r="K29" s="55">
        <f t="shared" si="0"/>
        <v>685000000</v>
      </c>
      <c r="L29" s="55">
        <f t="shared" si="16"/>
        <v>342500000</v>
      </c>
      <c r="M29" s="55">
        <f t="shared" si="17"/>
        <v>68500000</v>
      </c>
      <c r="N29" s="283">
        <f>(L29*20%)+I29</f>
        <v>68500000</v>
      </c>
      <c r="O29" s="56">
        <v>66261000</v>
      </c>
      <c r="P29" s="56">
        <f t="shared" si="12"/>
        <v>134761000</v>
      </c>
      <c r="Q29" s="53"/>
      <c r="R29" s="56"/>
      <c r="S29" s="53"/>
      <c r="T29" s="53"/>
      <c r="U29" s="53">
        <v>1</v>
      </c>
      <c r="V29" s="53"/>
      <c r="W29" s="53"/>
      <c r="X29" s="53"/>
      <c r="Y29" s="56">
        <f t="shared" si="3"/>
        <v>1</v>
      </c>
      <c r="Z29" s="56">
        <f t="shared" ref="Z29:Z43" si="19">H29-Y29</f>
        <v>0</v>
      </c>
      <c r="AA29" s="55">
        <f t="shared" si="5"/>
        <v>134761000</v>
      </c>
      <c r="AB29" s="56">
        <f>N29+O29-AA29</f>
        <v>0</v>
      </c>
      <c r="AC29" s="56"/>
      <c r="AD29" s="218">
        <v>45989</v>
      </c>
      <c r="AE29" s="218">
        <v>46008</v>
      </c>
      <c r="AF29" s="218">
        <v>46034</v>
      </c>
      <c r="AG29" s="218">
        <f>AE29+30</f>
        <v>46038</v>
      </c>
      <c r="AH29" s="218">
        <v>46034</v>
      </c>
      <c r="AI29" s="53" t="s">
        <v>63</v>
      </c>
      <c r="AJ29" s="53" t="s">
        <v>168</v>
      </c>
      <c r="AK29" s="183">
        <f>VLOOKUP(C29,investasi!$B$23:$G$26,6,0)+investasi!I26</f>
        <v>134761000</v>
      </c>
      <c r="AL29" s="184">
        <f>P29</f>
        <v>134761000</v>
      </c>
      <c r="AM29" s="184">
        <f t="shared" si="11"/>
        <v>0</v>
      </c>
    </row>
    <row r="30" spans="1:42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74857500</v>
      </c>
      <c r="F30" s="56">
        <f t="shared" si="9"/>
        <v>374287500</v>
      </c>
      <c r="G30" s="53" t="s">
        <v>114</v>
      </c>
      <c r="H30" s="55">
        <v>150</v>
      </c>
      <c r="I30" s="55"/>
      <c r="J30" s="55">
        <v>4990500</v>
      </c>
      <c r="K30" s="55">
        <f>H30*J30</f>
        <v>748575000</v>
      </c>
      <c r="L30" s="55">
        <f t="shared" si="16"/>
        <v>374287500</v>
      </c>
      <c r="M30" s="55">
        <f t="shared" si="17"/>
        <v>499050</v>
      </c>
      <c r="N30" s="283">
        <f>(L30*20%)+I30</f>
        <v>74857500</v>
      </c>
      <c r="O30" s="56"/>
      <c r="P30" s="56">
        <f t="shared" si="12"/>
        <v>74857500</v>
      </c>
      <c r="Q30" s="53"/>
      <c r="R30" s="56"/>
      <c r="S30" s="53"/>
      <c r="T30" s="53"/>
      <c r="U30" s="53">
        <v>150</v>
      </c>
      <c r="V30" s="53"/>
      <c r="W30" s="53"/>
      <c r="X30" s="53"/>
      <c r="Y30" s="56">
        <f t="shared" si="3"/>
        <v>150</v>
      </c>
      <c r="Z30" s="56">
        <f t="shared" si="19"/>
        <v>0</v>
      </c>
      <c r="AA30" s="55">
        <f t="shared" si="5"/>
        <v>74857500</v>
      </c>
      <c r="AB30" s="56">
        <f>N30+O30-AA30</f>
        <v>0</v>
      </c>
      <c r="AC30" s="56"/>
      <c r="AD30" s="218">
        <v>45989</v>
      </c>
      <c r="AE30" s="218">
        <v>46008</v>
      </c>
      <c r="AF30" s="218">
        <v>46034</v>
      </c>
      <c r="AG30" s="218">
        <f>AE30+30</f>
        <v>46038</v>
      </c>
      <c r="AH30" s="218">
        <v>46034</v>
      </c>
      <c r="AI30" s="53" t="s">
        <v>63</v>
      </c>
      <c r="AJ30" s="53" t="s">
        <v>168</v>
      </c>
      <c r="AK30" s="183"/>
      <c r="AL30" s="184"/>
      <c r="AM30" s="184"/>
      <c r="AN30" s="59" t="s">
        <v>60</v>
      </c>
    </row>
    <row r="31" spans="1:42" s="59" customFormat="1" ht="14.25" customHeight="1" x14ac:dyDescent="0.25">
      <c r="A31" s="339">
        <f t="shared" ref="A31:A44" si="20">A30+1</f>
        <v>20</v>
      </c>
      <c r="B31" s="341">
        <v>45977</v>
      </c>
      <c r="C31" s="343">
        <v>5200989664</v>
      </c>
      <c r="D31" s="53" t="s">
        <v>63</v>
      </c>
      <c r="E31" s="56">
        <f t="shared" si="8"/>
        <v>0</v>
      </c>
      <c r="F31" s="56">
        <f t="shared" si="9"/>
        <v>0</v>
      </c>
      <c r="G31" s="53" t="s">
        <v>115</v>
      </c>
      <c r="H31" s="55">
        <v>50</v>
      </c>
      <c r="I31" s="55"/>
      <c r="J31" s="55">
        <v>21100000</v>
      </c>
      <c r="K31" s="55">
        <f t="shared" ref="K31:K36" si="21">H31*J31</f>
        <v>1055000000</v>
      </c>
      <c r="L31" s="55">
        <f t="shared" si="16"/>
        <v>527500000</v>
      </c>
      <c r="M31" s="55">
        <f t="shared" si="17"/>
        <v>2110000</v>
      </c>
      <c r="N31" s="56">
        <f>(L31*20%)</f>
        <v>105500000</v>
      </c>
      <c r="O31" s="56"/>
      <c r="P31" s="56">
        <f t="shared" si="12"/>
        <v>105500000</v>
      </c>
      <c r="Q31" s="53"/>
      <c r="R31" s="56"/>
      <c r="S31" s="53"/>
      <c r="T31" s="53"/>
      <c r="U31" s="53"/>
      <c r="V31" s="53">
        <v>50</v>
      </c>
      <c r="W31" s="53"/>
      <c r="X31" s="53"/>
      <c r="Y31" s="56">
        <f t="shared" si="3"/>
        <v>50</v>
      </c>
      <c r="Z31" s="56">
        <f t="shared" si="19"/>
        <v>0</v>
      </c>
      <c r="AA31" s="55">
        <f t="shared" si="5"/>
        <v>105500000</v>
      </c>
      <c r="AB31" s="56">
        <f>AA31</f>
        <v>105500000</v>
      </c>
      <c r="AC31" s="56">
        <f>L31</f>
        <v>527500000</v>
      </c>
      <c r="AD31" s="60">
        <v>46031</v>
      </c>
      <c r="AE31" s="298">
        <v>46031</v>
      </c>
      <c r="AF31" s="182">
        <f>AD31+30</f>
        <v>46061</v>
      </c>
      <c r="AG31" s="58"/>
      <c r="AH31" s="58"/>
      <c r="AI31" s="53" t="s">
        <v>69</v>
      </c>
      <c r="AJ31" s="53"/>
      <c r="AK31" s="183"/>
      <c r="AL31" s="184"/>
      <c r="AM31" s="184"/>
    </row>
    <row r="32" spans="1:42" s="293" customFormat="1" ht="14.25" customHeight="1" x14ac:dyDescent="0.25">
      <c r="A32" s="340"/>
      <c r="B32" s="342"/>
      <c r="C32" s="344"/>
      <c r="D32" s="284" t="s">
        <v>65</v>
      </c>
      <c r="E32" s="56">
        <f t="shared" si="8"/>
        <v>0</v>
      </c>
      <c r="F32" s="56">
        <f t="shared" si="9"/>
        <v>0</v>
      </c>
      <c r="G32" s="284" t="s">
        <v>115</v>
      </c>
      <c r="H32" s="285">
        <v>50</v>
      </c>
      <c r="I32" s="285"/>
      <c r="J32" s="285">
        <v>21100000</v>
      </c>
      <c r="K32" s="285">
        <f t="shared" si="21"/>
        <v>1055000000</v>
      </c>
      <c r="L32" s="285">
        <f t="shared" si="16"/>
        <v>527500000</v>
      </c>
      <c r="M32" s="285">
        <f t="shared" si="17"/>
        <v>2110000</v>
      </c>
      <c r="N32" s="286">
        <f t="shared" ref="N32:N35" si="22">(L32*20%)+I32</f>
        <v>105500000</v>
      </c>
      <c r="O32" s="286"/>
      <c r="P32" s="286">
        <f t="shared" ref="P32" si="23">SUM(N32:O32)</f>
        <v>105500000</v>
      </c>
      <c r="Q32" s="284"/>
      <c r="R32" s="286"/>
      <c r="S32" s="284"/>
      <c r="T32" s="284"/>
      <c r="U32" s="284"/>
      <c r="V32" s="284"/>
      <c r="W32" s="284">
        <v>50</v>
      </c>
      <c r="X32" s="284"/>
      <c r="Y32" s="286">
        <f t="shared" si="3"/>
        <v>0</v>
      </c>
      <c r="Z32" s="286">
        <f t="shared" si="19"/>
        <v>50</v>
      </c>
      <c r="AA32" s="285">
        <f t="shared" si="5"/>
        <v>105500000</v>
      </c>
      <c r="AB32" s="56">
        <f t="shared" ref="AB32:AB33" si="24">AA32</f>
        <v>105500000</v>
      </c>
      <c r="AC32" s="286">
        <f t="shared" ref="AC32:AC33" si="25">L32</f>
        <v>527500000</v>
      </c>
      <c r="AD32" s="287">
        <v>46031</v>
      </c>
      <c r="AE32" s="288">
        <v>46031</v>
      </c>
      <c r="AF32" s="289">
        <f>AD32+30</f>
        <v>46061</v>
      </c>
      <c r="AG32" s="290"/>
      <c r="AH32" s="290"/>
      <c r="AI32" s="284" t="s">
        <v>69</v>
      </c>
      <c r="AJ32" s="284"/>
      <c r="AK32" s="291"/>
      <c r="AL32" s="292"/>
      <c r="AM32" s="292"/>
    </row>
    <row r="33" spans="1:39" s="293" customFormat="1" ht="14.25" customHeight="1" x14ac:dyDescent="0.25">
      <c r="A33" s="294">
        <f>A31+1</f>
        <v>21</v>
      </c>
      <c r="B33" s="287">
        <v>45977</v>
      </c>
      <c r="C33" s="294">
        <v>5200989665</v>
      </c>
      <c r="D33" s="284" t="s">
        <v>69</v>
      </c>
      <c r="E33" s="56">
        <f t="shared" si="8"/>
        <v>0</v>
      </c>
      <c r="F33" s="56">
        <f t="shared" si="9"/>
        <v>0</v>
      </c>
      <c r="G33" s="284" t="s">
        <v>115</v>
      </c>
      <c r="H33" s="285">
        <v>50</v>
      </c>
      <c r="I33" s="285"/>
      <c r="J33" s="285">
        <v>21100000</v>
      </c>
      <c r="K33" s="285">
        <f t="shared" si="21"/>
        <v>1055000000</v>
      </c>
      <c r="L33" s="285">
        <f t="shared" si="16"/>
        <v>527500000</v>
      </c>
      <c r="M33" s="285">
        <f t="shared" si="17"/>
        <v>2110000</v>
      </c>
      <c r="N33" s="286">
        <f t="shared" si="22"/>
        <v>105500000</v>
      </c>
      <c r="O33" s="286"/>
      <c r="P33" s="286">
        <f t="shared" si="12"/>
        <v>105500000</v>
      </c>
      <c r="Q33" s="284"/>
      <c r="R33" s="286"/>
      <c r="S33" s="284"/>
      <c r="T33" s="284"/>
      <c r="U33" s="284"/>
      <c r="V33" s="284"/>
      <c r="W33" s="284">
        <v>50</v>
      </c>
      <c r="X33" s="284"/>
      <c r="Y33" s="286">
        <f t="shared" ref="Y33:Y38" si="26">SUM(Q33:W33)</f>
        <v>50</v>
      </c>
      <c r="Z33" s="286">
        <f t="shared" si="19"/>
        <v>0</v>
      </c>
      <c r="AA33" s="285">
        <f t="shared" si="5"/>
        <v>105500000</v>
      </c>
      <c r="AB33" s="56">
        <f t="shared" si="24"/>
        <v>105500000</v>
      </c>
      <c r="AC33" s="286">
        <f t="shared" si="25"/>
        <v>527500000</v>
      </c>
      <c r="AD33" s="287">
        <v>46030</v>
      </c>
      <c r="AE33" s="288">
        <v>46030</v>
      </c>
      <c r="AF33" s="289">
        <f>AD33+30</f>
        <v>46060</v>
      </c>
      <c r="AG33" s="290"/>
      <c r="AH33" s="290"/>
      <c r="AI33" s="284" t="s">
        <v>69</v>
      </c>
      <c r="AJ33" s="284"/>
      <c r="AK33" s="291"/>
      <c r="AL33" s="292"/>
      <c r="AM33" s="292"/>
    </row>
    <row r="34" spans="1:39" s="293" customFormat="1" ht="14.25" customHeight="1" x14ac:dyDescent="0.25">
      <c r="A34" s="294">
        <f>A32+1</f>
        <v>1</v>
      </c>
      <c r="B34" s="287">
        <v>45977</v>
      </c>
      <c r="C34" s="294">
        <v>5200989665</v>
      </c>
      <c r="D34" s="284" t="s">
        <v>69</v>
      </c>
      <c r="E34" s="286">
        <f t="shared" si="8"/>
        <v>0</v>
      </c>
      <c r="F34" s="286">
        <f t="shared" si="9"/>
        <v>527500000</v>
      </c>
      <c r="G34" s="284" t="s">
        <v>115</v>
      </c>
      <c r="H34" s="285">
        <v>50</v>
      </c>
      <c r="I34" s="285"/>
      <c r="J34" s="285">
        <v>21100000</v>
      </c>
      <c r="K34" s="285">
        <f t="shared" si="21"/>
        <v>1055000000</v>
      </c>
      <c r="L34" s="63">
        <f t="shared" si="16"/>
        <v>527500000</v>
      </c>
      <c r="M34" s="285">
        <f t="shared" si="17"/>
        <v>2110000</v>
      </c>
      <c r="N34" s="286">
        <f t="shared" si="22"/>
        <v>105500000</v>
      </c>
      <c r="O34" s="286"/>
      <c r="P34" s="286">
        <f t="shared" ref="P34" si="27">SUM(N34:O34)</f>
        <v>105500000</v>
      </c>
      <c r="Q34" s="284"/>
      <c r="R34" s="286"/>
      <c r="S34" s="284"/>
      <c r="T34" s="284"/>
      <c r="U34" s="284"/>
      <c r="V34" s="284"/>
      <c r="W34" s="284"/>
      <c r="X34" s="284"/>
      <c r="Y34" s="286">
        <f t="shared" si="26"/>
        <v>0</v>
      </c>
      <c r="Z34" s="286">
        <f t="shared" si="19"/>
        <v>50</v>
      </c>
      <c r="AA34" s="285">
        <f t="shared" si="5"/>
        <v>105500000</v>
      </c>
      <c r="AB34" s="286">
        <f>AA34</f>
        <v>105500000</v>
      </c>
      <c r="AC34" s="286"/>
      <c r="AD34" s="287">
        <v>46030</v>
      </c>
      <c r="AE34" s="288">
        <v>46030</v>
      </c>
      <c r="AF34" s="289">
        <f>AD34+30</f>
        <v>46060</v>
      </c>
      <c r="AG34" s="290"/>
      <c r="AH34" s="290"/>
      <c r="AI34" s="284" t="s">
        <v>69</v>
      </c>
      <c r="AJ34" s="284"/>
      <c r="AK34" s="291"/>
      <c r="AL34" s="292"/>
      <c r="AM34" s="292"/>
    </row>
    <row r="35" spans="1:39" s="59" customFormat="1" x14ac:dyDescent="0.25">
      <c r="A35" s="181">
        <f>A33+1</f>
        <v>22</v>
      </c>
      <c r="B35" s="60">
        <v>45977</v>
      </c>
      <c r="C35" s="181">
        <v>5200989666</v>
      </c>
      <c r="D35" s="53" t="s">
        <v>63</v>
      </c>
      <c r="E35" s="56">
        <f t="shared" si="8"/>
        <v>232100000</v>
      </c>
      <c r="F35" s="56">
        <f t="shared" si="9"/>
        <v>1160500000</v>
      </c>
      <c r="G35" s="53" t="s">
        <v>115</v>
      </c>
      <c r="H35" s="55">
        <v>110</v>
      </c>
      <c r="I35" s="55"/>
      <c r="J35" s="55">
        <v>21100000</v>
      </c>
      <c r="K35" s="55">
        <f t="shared" si="21"/>
        <v>2321000000</v>
      </c>
      <c r="L35" s="63">
        <f t="shared" si="16"/>
        <v>1160500000</v>
      </c>
      <c r="M35" s="55">
        <f t="shared" si="17"/>
        <v>2110000</v>
      </c>
      <c r="N35" s="283">
        <f t="shared" si="22"/>
        <v>232100000</v>
      </c>
      <c r="O35" s="56"/>
      <c r="P35" s="56">
        <f t="shared" si="12"/>
        <v>232100000</v>
      </c>
      <c r="Q35" s="53"/>
      <c r="R35" s="56"/>
      <c r="S35" s="53"/>
      <c r="T35" s="53"/>
      <c r="U35" s="53"/>
      <c r="V35" s="53"/>
      <c r="W35" s="53">
        <v>110</v>
      </c>
      <c r="X35" s="53"/>
      <c r="Y35" s="56">
        <f t="shared" si="26"/>
        <v>110</v>
      </c>
      <c r="Z35" s="56">
        <v>0</v>
      </c>
      <c r="AA35" s="55">
        <f t="shared" si="5"/>
        <v>232100000</v>
      </c>
      <c r="AB35" s="56"/>
      <c r="AC35" s="56"/>
      <c r="AD35" s="218">
        <v>46027</v>
      </c>
      <c r="AE35" s="218">
        <v>45676</v>
      </c>
      <c r="AF35" s="218">
        <f>AE35+30</f>
        <v>45706</v>
      </c>
      <c r="AG35" s="218"/>
      <c r="AH35" s="218"/>
      <c r="AI35" s="53" t="s">
        <v>69</v>
      </c>
      <c r="AJ35" s="53" t="s">
        <v>189</v>
      </c>
      <c r="AK35" s="183"/>
      <c r="AL35" s="184"/>
      <c r="AM35" s="184"/>
    </row>
    <row r="36" spans="1:39" s="126" customFormat="1" ht="14.25" customHeight="1" x14ac:dyDescent="0.25">
      <c r="A36" s="120">
        <f>A35+1</f>
        <v>23</v>
      </c>
      <c r="B36" s="121">
        <v>45981</v>
      </c>
      <c r="C36" s="120">
        <v>5200992759</v>
      </c>
      <c r="D36" s="122" t="s">
        <v>65</v>
      </c>
      <c r="E36" s="122">
        <f t="shared" si="8"/>
        <v>0</v>
      </c>
      <c r="F36" s="56">
        <f t="shared" si="9"/>
        <v>0</v>
      </c>
      <c r="G36" s="122" t="s">
        <v>60</v>
      </c>
      <c r="H36" s="123">
        <v>6</v>
      </c>
      <c r="I36" s="123"/>
      <c r="J36" s="123">
        <v>100500000</v>
      </c>
      <c r="K36" s="123">
        <f t="shared" si="21"/>
        <v>603000000</v>
      </c>
      <c r="L36" s="123">
        <f t="shared" si="16"/>
        <v>301500000</v>
      </c>
      <c r="M36" s="123">
        <v>10050000</v>
      </c>
      <c r="N36" s="124">
        <f>M36*H36</f>
        <v>60300000</v>
      </c>
      <c r="O36" s="124"/>
      <c r="P36" s="124">
        <f t="shared" si="12"/>
        <v>60300000</v>
      </c>
      <c r="Q36" s="122"/>
      <c r="R36" s="124"/>
      <c r="S36" s="122"/>
      <c r="T36" s="122"/>
      <c r="U36" s="122"/>
      <c r="V36" s="122"/>
      <c r="W36" s="122">
        <v>6</v>
      </c>
      <c r="X36" s="122"/>
      <c r="Y36" s="124">
        <f t="shared" si="26"/>
        <v>6</v>
      </c>
      <c r="Z36" s="124">
        <f t="shared" ref="Z36" si="28">H36-Y36</f>
        <v>0</v>
      </c>
      <c r="AA36" s="123">
        <f t="shared" si="5"/>
        <v>60300000</v>
      </c>
      <c r="AB36" s="286">
        <f>AA36</f>
        <v>60300000</v>
      </c>
      <c r="AC36" s="124">
        <f>L36</f>
        <v>301500000</v>
      </c>
      <c r="AD36" s="121">
        <v>46048</v>
      </c>
      <c r="AE36" s="269">
        <v>46048</v>
      </c>
      <c r="AF36" s="129">
        <f>AE36+30</f>
        <v>46078</v>
      </c>
      <c r="AG36" s="125"/>
      <c r="AH36" s="125"/>
      <c r="AI36" s="122" t="s">
        <v>69</v>
      </c>
      <c r="AJ36" s="122" t="s">
        <v>204</v>
      </c>
      <c r="AK36" s="127"/>
      <c r="AL36" s="128"/>
      <c r="AM36" s="128"/>
    </row>
    <row r="37" spans="1:39" s="126" customFormat="1" ht="14.25" customHeight="1" x14ac:dyDescent="0.25">
      <c r="A37" s="120">
        <f t="shared" si="20"/>
        <v>24</v>
      </c>
      <c r="B37" s="121">
        <v>45985</v>
      </c>
      <c r="C37" s="120">
        <v>5200991260</v>
      </c>
      <c r="D37" s="122" t="s">
        <v>65</v>
      </c>
      <c r="E37" s="122">
        <f t="shared" si="8"/>
        <v>0</v>
      </c>
      <c r="F37" s="56">
        <f t="shared" si="9"/>
        <v>0</v>
      </c>
      <c r="G37" s="122" t="s">
        <v>114</v>
      </c>
      <c r="H37" s="123">
        <v>150</v>
      </c>
      <c r="I37" s="123"/>
      <c r="J37" s="123">
        <v>4990500</v>
      </c>
      <c r="K37" s="123">
        <f>H37*J37</f>
        <v>748575000</v>
      </c>
      <c r="L37" s="123">
        <f t="shared" si="16"/>
        <v>374287500</v>
      </c>
      <c r="M37" s="123">
        <f t="shared" ref="M37:M44" si="29">(L37*20%)/H37</f>
        <v>499050</v>
      </c>
      <c r="N37" s="124">
        <f>(L37*20%)+I37</f>
        <v>74857500</v>
      </c>
      <c r="O37" s="124"/>
      <c r="P37" s="124">
        <f t="shared" ref="P37:P44" si="30">SUM(N37:O37)</f>
        <v>74857500</v>
      </c>
      <c r="Q37" s="122"/>
      <c r="R37" s="124"/>
      <c r="S37" s="122"/>
      <c r="T37" s="122"/>
      <c r="U37" s="122"/>
      <c r="V37" s="122"/>
      <c r="W37" s="122">
        <f>H37</f>
        <v>150</v>
      </c>
      <c r="X37" s="122"/>
      <c r="Y37" s="124">
        <f t="shared" si="26"/>
        <v>150</v>
      </c>
      <c r="Z37" s="124">
        <f t="shared" si="19"/>
        <v>0</v>
      </c>
      <c r="AA37" s="123">
        <f t="shared" si="5"/>
        <v>74857500</v>
      </c>
      <c r="AB37" s="286">
        <f>AA37</f>
        <v>74857500</v>
      </c>
      <c r="AC37" s="124">
        <f>L37</f>
        <v>374287500</v>
      </c>
      <c r="AD37" s="121">
        <v>46041</v>
      </c>
      <c r="AE37" s="270">
        <v>46041</v>
      </c>
      <c r="AF37" s="129"/>
      <c r="AG37" s="125">
        <f t="shared" ref="AG37:AG43" si="31">AD37+60</f>
        <v>46101</v>
      </c>
      <c r="AH37" s="125"/>
      <c r="AI37" s="122" t="s">
        <v>69</v>
      </c>
      <c r="AJ37" s="122" t="s">
        <v>183</v>
      </c>
      <c r="AK37" s="127"/>
      <c r="AL37" s="128"/>
      <c r="AM37" s="128"/>
    </row>
    <row r="38" spans="1:39" s="126" customFormat="1" ht="14.25" customHeight="1" x14ac:dyDescent="0.25">
      <c r="A38" s="120">
        <f t="shared" si="20"/>
        <v>25</v>
      </c>
      <c r="B38" s="121">
        <v>45985</v>
      </c>
      <c r="C38" s="120">
        <v>5200991264</v>
      </c>
      <c r="D38" s="122" t="s">
        <v>65</v>
      </c>
      <c r="E38" s="122">
        <f t="shared" si="8"/>
        <v>0</v>
      </c>
      <c r="F38" s="56">
        <f t="shared" si="9"/>
        <v>0</v>
      </c>
      <c r="G38" s="122" t="s">
        <v>114</v>
      </c>
      <c r="H38" s="123">
        <v>150</v>
      </c>
      <c r="I38" s="123"/>
      <c r="J38" s="123">
        <v>4990500</v>
      </c>
      <c r="K38" s="123">
        <f t="shared" ref="K38:K43" si="32">H38*J38</f>
        <v>748575000</v>
      </c>
      <c r="L38" s="123">
        <f t="shared" si="16"/>
        <v>374287500</v>
      </c>
      <c r="M38" s="123">
        <f t="shared" si="29"/>
        <v>499050</v>
      </c>
      <c r="N38" s="124">
        <f t="shared" ref="N38:N41" si="33">(L38*20%)+I38</f>
        <v>74857500</v>
      </c>
      <c r="O38" s="124"/>
      <c r="P38" s="124">
        <f t="shared" si="30"/>
        <v>74857500</v>
      </c>
      <c r="Q38" s="122"/>
      <c r="R38" s="124"/>
      <c r="S38" s="122"/>
      <c r="T38" s="122"/>
      <c r="U38" s="122"/>
      <c r="V38" s="122"/>
      <c r="W38" s="122">
        <f>H38</f>
        <v>150</v>
      </c>
      <c r="X38" s="122"/>
      <c r="Y38" s="124">
        <f t="shared" si="26"/>
        <v>150</v>
      </c>
      <c r="Z38" s="124">
        <f t="shared" si="19"/>
        <v>0</v>
      </c>
      <c r="AA38" s="123">
        <f t="shared" si="5"/>
        <v>74857500</v>
      </c>
      <c r="AB38" s="286">
        <f t="shared" ref="AB38:AB44" si="34">AA38</f>
        <v>74857500</v>
      </c>
      <c r="AC38" s="124">
        <f t="shared" ref="AC38:AC50" si="35">L38</f>
        <v>374287500</v>
      </c>
      <c r="AD38" s="121">
        <v>46041</v>
      </c>
      <c r="AE38" s="270">
        <v>46041</v>
      </c>
      <c r="AF38" s="129"/>
      <c r="AG38" s="125">
        <f t="shared" si="31"/>
        <v>46101</v>
      </c>
      <c r="AH38" s="125"/>
      <c r="AI38" s="122" t="s">
        <v>69</v>
      </c>
      <c r="AJ38" s="122" t="s">
        <v>183</v>
      </c>
      <c r="AK38" s="127"/>
      <c r="AL38" s="128"/>
      <c r="AM38" s="128"/>
    </row>
    <row r="39" spans="1:39" s="126" customFormat="1" ht="14.25" customHeight="1" x14ac:dyDescent="0.25">
      <c r="A39" s="120">
        <f t="shared" si="20"/>
        <v>26</v>
      </c>
      <c r="B39" s="121">
        <v>45986</v>
      </c>
      <c r="C39" s="120">
        <v>5200991456</v>
      </c>
      <c r="D39" s="122" t="s">
        <v>65</v>
      </c>
      <c r="E39" s="122">
        <f t="shared" si="8"/>
        <v>0</v>
      </c>
      <c r="F39" s="56">
        <f t="shared" si="9"/>
        <v>0</v>
      </c>
      <c r="G39" s="122" t="s">
        <v>114</v>
      </c>
      <c r="H39" s="123">
        <v>150</v>
      </c>
      <c r="I39" s="123"/>
      <c r="J39" s="123">
        <v>4990500</v>
      </c>
      <c r="K39" s="123">
        <f t="shared" si="32"/>
        <v>748575000</v>
      </c>
      <c r="L39" s="123">
        <f t="shared" si="16"/>
        <v>374287500</v>
      </c>
      <c r="M39" s="123">
        <f t="shared" si="29"/>
        <v>499050</v>
      </c>
      <c r="N39" s="124">
        <f t="shared" si="33"/>
        <v>74857500</v>
      </c>
      <c r="O39" s="124"/>
      <c r="P39" s="124">
        <f t="shared" si="30"/>
        <v>74857500</v>
      </c>
      <c r="Q39" s="122"/>
      <c r="R39" s="124"/>
      <c r="S39" s="122"/>
      <c r="T39" s="122"/>
      <c r="U39" s="122"/>
      <c r="V39" s="122">
        <f t="shared" ref="V39:V43" si="36">H39</f>
        <v>150</v>
      </c>
      <c r="W39" s="122"/>
      <c r="X39" s="122"/>
      <c r="Y39" s="124">
        <f t="shared" si="3"/>
        <v>150</v>
      </c>
      <c r="Z39" s="124">
        <f t="shared" si="19"/>
        <v>0</v>
      </c>
      <c r="AA39" s="123">
        <f t="shared" si="5"/>
        <v>74857500</v>
      </c>
      <c r="AB39" s="286">
        <f t="shared" si="34"/>
        <v>74857500</v>
      </c>
      <c r="AC39" s="124">
        <f t="shared" si="35"/>
        <v>374287500</v>
      </c>
      <c r="AD39" s="121">
        <v>46036</v>
      </c>
      <c r="AE39" s="270">
        <v>46036</v>
      </c>
      <c r="AF39" s="129"/>
      <c r="AG39" s="125">
        <f t="shared" si="31"/>
        <v>46096</v>
      </c>
      <c r="AH39" s="125"/>
      <c r="AI39" s="122" t="s">
        <v>69</v>
      </c>
      <c r="AJ39" s="122"/>
      <c r="AK39" s="127"/>
      <c r="AL39" s="128"/>
      <c r="AM39" s="128"/>
    </row>
    <row r="40" spans="1:39" s="126" customFormat="1" ht="14.25" customHeight="1" x14ac:dyDescent="0.25">
      <c r="A40" s="120">
        <f t="shared" si="20"/>
        <v>27</v>
      </c>
      <c r="B40" s="121">
        <v>45986</v>
      </c>
      <c r="C40" s="120">
        <v>5200991458</v>
      </c>
      <c r="D40" s="122" t="s">
        <v>65</v>
      </c>
      <c r="E40" s="122">
        <f t="shared" si="8"/>
        <v>0</v>
      </c>
      <c r="F40" s="56">
        <f t="shared" si="9"/>
        <v>0</v>
      </c>
      <c r="G40" s="122" t="s">
        <v>114</v>
      </c>
      <c r="H40" s="123">
        <v>150</v>
      </c>
      <c r="I40" s="123"/>
      <c r="J40" s="123">
        <v>4990500</v>
      </c>
      <c r="K40" s="123">
        <f t="shared" si="32"/>
        <v>748575000</v>
      </c>
      <c r="L40" s="123">
        <f t="shared" si="16"/>
        <v>374287500</v>
      </c>
      <c r="M40" s="123">
        <f t="shared" si="29"/>
        <v>499050</v>
      </c>
      <c r="N40" s="124">
        <f t="shared" si="33"/>
        <v>74857500</v>
      </c>
      <c r="O40" s="124"/>
      <c r="P40" s="124">
        <f t="shared" si="30"/>
        <v>74857500</v>
      </c>
      <c r="Q40" s="122"/>
      <c r="R40" s="124"/>
      <c r="S40" s="122"/>
      <c r="T40" s="122"/>
      <c r="U40" s="122"/>
      <c r="V40" s="122">
        <f t="shared" si="36"/>
        <v>150</v>
      </c>
      <c r="W40" s="122"/>
      <c r="X40" s="122"/>
      <c r="Y40" s="124">
        <f t="shared" si="3"/>
        <v>150</v>
      </c>
      <c r="Z40" s="124">
        <f t="shared" si="19"/>
        <v>0</v>
      </c>
      <c r="AA40" s="123">
        <f t="shared" si="5"/>
        <v>74857500</v>
      </c>
      <c r="AB40" s="286">
        <f t="shared" si="34"/>
        <v>74857500</v>
      </c>
      <c r="AC40" s="124">
        <f t="shared" si="35"/>
        <v>374287500</v>
      </c>
      <c r="AD40" s="121">
        <v>46036</v>
      </c>
      <c r="AE40" s="270">
        <v>46036</v>
      </c>
      <c r="AF40" s="129"/>
      <c r="AG40" s="125">
        <f t="shared" si="31"/>
        <v>46096</v>
      </c>
      <c r="AH40" s="125"/>
      <c r="AI40" s="122" t="s">
        <v>69</v>
      </c>
      <c r="AJ40" s="122"/>
      <c r="AK40" s="127"/>
      <c r="AL40" s="128"/>
      <c r="AM40" s="128"/>
    </row>
    <row r="41" spans="1:39" s="126" customFormat="1" ht="14.25" customHeight="1" x14ac:dyDescent="0.25">
      <c r="A41" s="120">
        <f t="shared" si="20"/>
        <v>28</v>
      </c>
      <c r="B41" s="121">
        <v>45986</v>
      </c>
      <c r="C41" s="120">
        <v>5200991502</v>
      </c>
      <c r="D41" s="122" t="s">
        <v>65</v>
      </c>
      <c r="E41" s="122">
        <f t="shared" si="8"/>
        <v>0</v>
      </c>
      <c r="F41" s="56">
        <f t="shared" si="9"/>
        <v>0</v>
      </c>
      <c r="G41" s="122" t="s">
        <v>114</v>
      </c>
      <c r="H41" s="123">
        <v>150</v>
      </c>
      <c r="I41" s="123"/>
      <c r="J41" s="123">
        <v>4990500</v>
      </c>
      <c r="K41" s="123">
        <f t="shared" si="32"/>
        <v>748575000</v>
      </c>
      <c r="L41" s="123">
        <f t="shared" si="16"/>
        <v>374287500</v>
      </c>
      <c r="M41" s="123">
        <f t="shared" si="29"/>
        <v>499050</v>
      </c>
      <c r="N41" s="124">
        <f t="shared" si="33"/>
        <v>74857500</v>
      </c>
      <c r="O41" s="124"/>
      <c r="P41" s="124">
        <f t="shared" si="30"/>
        <v>74857500</v>
      </c>
      <c r="Q41" s="122"/>
      <c r="R41" s="124"/>
      <c r="S41" s="122"/>
      <c r="T41" s="122"/>
      <c r="U41" s="122"/>
      <c r="V41" s="122">
        <f t="shared" si="36"/>
        <v>150</v>
      </c>
      <c r="W41" s="122"/>
      <c r="X41" s="122"/>
      <c r="Y41" s="124">
        <f t="shared" si="3"/>
        <v>150</v>
      </c>
      <c r="Z41" s="124">
        <f t="shared" si="19"/>
        <v>0</v>
      </c>
      <c r="AA41" s="123">
        <f t="shared" si="5"/>
        <v>74857500</v>
      </c>
      <c r="AB41" s="286">
        <f t="shared" si="34"/>
        <v>74857500</v>
      </c>
      <c r="AC41" s="124">
        <f t="shared" si="35"/>
        <v>374287500</v>
      </c>
      <c r="AD41" s="121">
        <v>46030</v>
      </c>
      <c r="AE41" s="270">
        <v>46030</v>
      </c>
      <c r="AF41" s="129"/>
      <c r="AG41" s="125">
        <f t="shared" si="31"/>
        <v>46090</v>
      </c>
      <c r="AH41" s="125"/>
      <c r="AI41" s="122" t="s">
        <v>69</v>
      </c>
      <c r="AJ41" s="122"/>
      <c r="AK41" s="127"/>
      <c r="AL41" s="128"/>
      <c r="AM41" s="128"/>
    </row>
    <row r="42" spans="1:39" s="126" customFormat="1" x14ac:dyDescent="0.25">
      <c r="A42" s="120">
        <f t="shared" si="20"/>
        <v>29</v>
      </c>
      <c r="B42" s="121">
        <v>45986</v>
      </c>
      <c r="C42" s="120">
        <v>5200991503</v>
      </c>
      <c r="D42" s="122" t="s">
        <v>65</v>
      </c>
      <c r="E42" s="122">
        <f t="shared" si="8"/>
        <v>0</v>
      </c>
      <c r="F42" s="56">
        <f t="shared" si="9"/>
        <v>0</v>
      </c>
      <c r="G42" s="122" t="s">
        <v>114</v>
      </c>
      <c r="H42" s="123">
        <v>150</v>
      </c>
      <c r="I42" s="123"/>
      <c r="J42" s="123">
        <v>4990500</v>
      </c>
      <c r="K42" s="123">
        <f t="shared" si="32"/>
        <v>748575000</v>
      </c>
      <c r="L42" s="123">
        <f t="shared" si="16"/>
        <v>374287500</v>
      </c>
      <c r="M42" s="123">
        <f t="shared" si="29"/>
        <v>499050</v>
      </c>
      <c r="N42" s="124">
        <f>(L42*20%)+I42</f>
        <v>74857500</v>
      </c>
      <c r="O42" s="124"/>
      <c r="P42" s="124">
        <f t="shared" si="30"/>
        <v>74857500</v>
      </c>
      <c r="Q42" s="122"/>
      <c r="R42" s="124"/>
      <c r="S42" s="122"/>
      <c r="T42" s="122"/>
      <c r="U42" s="122"/>
      <c r="V42" s="122">
        <f t="shared" si="36"/>
        <v>150</v>
      </c>
      <c r="W42" s="122"/>
      <c r="X42" s="122"/>
      <c r="Y42" s="124">
        <f t="shared" si="3"/>
        <v>150</v>
      </c>
      <c r="Z42" s="124">
        <f t="shared" si="19"/>
        <v>0</v>
      </c>
      <c r="AA42" s="123">
        <f t="shared" si="5"/>
        <v>74857500</v>
      </c>
      <c r="AB42" s="286">
        <f t="shared" si="34"/>
        <v>74857500</v>
      </c>
      <c r="AC42" s="124">
        <f t="shared" si="35"/>
        <v>374287500</v>
      </c>
      <c r="AD42" s="269">
        <v>46030</v>
      </c>
      <c r="AE42" s="270">
        <v>46030</v>
      </c>
      <c r="AF42" s="129"/>
      <c r="AG42" s="125">
        <f t="shared" si="31"/>
        <v>46090</v>
      </c>
      <c r="AH42" s="125"/>
      <c r="AI42" s="122" t="s">
        <v>69</v>
      </c>
      <c r="AJ42" s="122"/>
      <c r="AK42" s="127"/>
      <c r="AL42" s="128"/>
      <c r="AM42" s="128"/>
    </row>
    <row r="43" spans="1:39" s="126" customFormat="1" x14ac:dyDescent="0.25">
      <c r="A43" s="120">
        <f t="shared" si="20"/>
        <v>30</v>
      </c>
      <c r="B43" s="121">
        <v>46372</v>
      </c>
      <c r="C43" s="120">
        <v>5200991553</v>
      </c>
      <c r="D43" s="122" t="s">
        <v>65</v>
      </c>
      <c r="E43" s="122">
        <f t="shared" si="8"/>
        <v>0</v>
      </c>
      <c r="F43" s="56">
        <f t="shared" si="9"/>
        <v>0</v>
      </c>
      <c r="G43" s="122" t="s">
        <v>114</v>
      </c>
      <c r="H43" s="123">
        <v>50</v>
      </c>
      <c r="I43" s="123"/>
      <c r="J43" s="123">
        <v>4990500</v>
      </c>
      <c r="K43" s="123">
        <f t="shared" si="32"/>
        <v>249525000</v>
      </c>
      <c r="L43" s="123">
        <f t="shared" si="16"/>
        <v>124762500</v>
      </c>
      <c r="M43" s="123">
        <f t="shared" si="29"/>
        <v>499050</v>
      </c>
      <c r="N43" s="124">
        <f>(L43*20%)+I43</f>
        <v>24952500</v>
      </c>
      <c r="O43" s="124"/>
      <c r="P43" s="124">
        <f t="shared" si="30"/>
        <v>24952500</v>
      </c>
      <c r="Q43" s="122"/>
      <c r="R43" s="124"/>
      <c r="S43" s="122"/>
      <c r="T43" s="122"/>
      <c r="U43" s="122"/>
      <c r="V43" s="122">
        <f t="shared" si="36"/>
        <v>50</v>
      </c>
      <c r="W43" s="122"/>
      <c r="X43" s="122"/>
      <c r="Y43" s="124">
        <f t="shared" si="3"/>
        <v>50</v>
      </c>
      <c r="Z43" s="124">
        <f t="shared" si="19"/>
        <v>0</v>
      </c>
      <c r="AA43" s="123">
        <f t="shared" si="5"/>
        <v>24952500</v>
      </c>
      <c r="AB43" s="286">
        <f t="shared" si="34"/>
        <v>24952500</v>
      </c>
      <c r="AC43" s="124">
        <f t="shared" si="35"/>
        <v>124762500</v>
      </c>
      <c r="AD43" s="269">
        <v>46036</v>
      </c>
      <c r="AE43" s="270">
        <v>46036</v>
      </c>
      <c r="AF43" s="129"/>
      <c r="AG43" s="125">
        <f t="shared" si="31"/>
        <v>46096</v>
      </c>
      <c r="AH43" s="125"/>
      <c r="AI43" s="122" t="s">
        <v>69</v>
      </c>
      <c r="AJ43" s="122"/>
      <c r="AK43" s="127"/>
      <c r="AL43" s="128"/>
      <c r="AM43" s="128"/>
    </row>
    <row r="44" spans="1:39" s="126" customFormat="1" ht="14.25" customHeight="1" x14ac:dyDescent="0.25">
      <c r="A44" s="120">
        <f t="shared" si="20"/>
        <v>31</v>
      </c>
      <c r="B44" s="121">
        <v>46021</v>
      </c>
      <c r="C44" s="271">
        <v>5200996833</v>
      </c>
      <c r="D44" s="122" t="s">
        <v>65</v>
      </c>
      <c r="E44" s="122">
        <f t="shared" si="8"/>
        <v>0</v>
      </c>
      <c r="F44" s="56">
        <f t="shared" si="9"/>
        <v>0</v>
      </c>
      <c r="G44" s="122" t="s">
        <v>153</v>
      </c>
      <c r="H44" s="123">
        <v>1</v>
      </c>
      <c r="I44" s="123"/>
      <c r="J44" s="123">
        <v>1188000000</v>
      </c>
      <c r="K44" s="123">
        <v>1188925400</v>
      </c>
      <c r="L44" s="123">
        <f t="shared" si="16"/>
        <v>594462700</v>
      </c>
      <c r="M44" s="123">
        <f t="shared" si="29"/>
        <v>118892540</v>
      </c>
      <c r="N44" s="124">
        <f>(L44*20%)+I44</f>
        <v>118892540</v>
      </c>
      <c r="O44" s="124"/>
      <c r="P44" s="124">
        <f t="shared" si="30"/>
        <v>118892540</v>
      </c>
      <c r="Q44" s="122"/>
      <c r="R44" s="124"/>
      <c r="S44" s="122"/>
      <c r="T44" s="122"/>
      <c r="U44" s="122"/>
      <c r="V44" s="122"/>
      <c r="W44" s="122"/>
      <c r="X44" s="122"/>
      <c r="Y44" s="124">
        <v>0</v>
      </c>
      <c r="Z44" s="124">
        <v>0</v>
      </c>
      <c r="AA44" s="123">
        <f t="shared" si="5"/>
        <v>118892540</v>
      </c>
      <c r="AB44" s="286">
        <f t="shared" si="34"/>
        <v>118892540</v>
      </c>
      <c r="AC44" s="124">
        <f t="shared" si="35"/>
        <v>594462700</v>
      </c>
      <c r="AD44" s="121"/>
      <c r="AE44" s="269"/>
      <c r="AF44" s="129"/>
      <c r="AG44" s="125"/>
      <c r="AH44" s="125"/>
      <c r="AI44" s="122" t="s">
        <v>65</v>
      </c>
      <c r="AJ44" s="122" t="s">
        <v>171</v>
      </c>
      <c r="AK44" s="127"/>
      <c r="AL44" s="128"/>
      <c r="AM44" s="128"/>
    </row>
    <row r="45" spans="1:39" s="126" customFormat="1" ht="14.25" customHeight="1" x14ac:dyDescent="0.25">
      <c r="A45" s="120"/>
      <c r="B45" s="121">
        <v>46044</v>
      </c>
      <c r="C45" s="271">
        <v>5201004137</v>
      </c>
      <c r="D45" s="122" t="s">
        <v>65</v>
      </c>
      <c r="E45" s="122"/>
      <c r="F45" s="122"/>
      <c r="G45" s="122" t="s">
        <v>188</v>
      </c>
      <c r="H45" s="123">
        <v>1</v>
      </c>
      <c r="I45" s="123"/>
      <c r="J45" s="123">
        <v>926640000</v>
      </c>
      <c r="K45" s="123">
        <f t="shared" ref="K45:K50" si="37">H45*J45</f>
        <v>926640000</v>
      </c>
      <c r="L45" s="123">
        <f t="shared" ref="L45:L53" si="38">K45*50%</f>
        <v>463320000</v>
      </c>
      <c r="M45" s="123">
        <f>L45*20%</f>
        <v>92664000</v>
      </c>
      <c r="N45" s="124">
        <f>(L45*20%)+I45</f>
        <v>92664000</v>
      </c>
      <c r="O45" s="124"/>
      <c r="P45" s="124">
        <f t="shared" ref="P45:P50" si="39">SUM(N45:O45)</f>
        <v>92664000</v>
      </c>
      <c r="Q45" s="122"/>
      <c r="R45" s="124"/>
      <c r="S45" s="122"/>
      <c r="T45" s="122"/>
      <c r="U45" s="122"/>
      <c r="V45" s="122"/>
      <c r="W45" s="122"/>
      <c r="X45" s="122"/>
      <c r="Y45" s="124">
        <v>0</v>
      </c>
      <c r="Z45" s="124">
        <v>0</v>
      </c>
      <c r="AA45" s="123"/>
      <c r="AB45" s="124">
        <f t="shared" ref="AB45:AB50" si="40">N45+O45-AA45</f>
        <v>92664000</v>
      </c>
      <c r="AC45" s="124">
        <f t="shared" si="35"/>
        <v>463320000</v>
      </c>
      <c r="AD45" s="121"/>
      <c r="AE45" s="269"/>
      <c r="AF45" s="129"/>
      <c r="AG45" s="125"/>
      <c r="AH45" s="125"/>
      <c r="AI45" s="122" t="s">
        <v>65</v>
      </c>
      <c r="AJ45" s="122" t="s">
        <v>171</v>
      </c>
      <c r="AK45" s="127"/>
      <c r="AL45" s="128"/>
      <c r="AM45" s="128"/>
    </row>
    <row r="46" spans="1:39" s="126" customFormat="1" x14ac:dyDescent="0.25">
      <c r="A46" s="120"/>
      <c r="B46" s="121">
        <v>46045</v>
      </c>
      <c r="C46" s="271">
        <v>5201004344</v>
      </c>
      <c r="D46" s="122" t="s">
        <v>65</v>
      </c>
      <c r="E46" s="122"/>
      <c r="F46" s="122"/>
      <c r="G46" s="122" t="s">
        <v>114</v>
      </c>
      <c r="H46" s="123">
        <v>50</v>
      </c>
      <c r="I46" s="123"/>
      <c r="J46" s="123">
        <f>249525000/H46</f>
        <v>4990500</v>
      </c>
      <c r="K46" s="123">
        <f t="shared" si="37"/>
        <v>249525000</v>
      </c>
      <c r="L46" s="123">
        <f t="shared" si="38"/>
        <v>124762500</v>
      </c>
      <c r="M46" s="123">
        <f>(L46/H46)*20%</f>
        <v>499050</v>
      </c>
      <c r="N46" s="124">
        <f>(L46*20%)+I46</f>
        <v>24952500</v>
      </c>
      <c r="O46" s="124"/>
      <c r="P46" s="124">
        <f t="shared" si="39"/>
        <v>24952500</v>
      </c>
      <c r="Q46" s="122"/>
      <c r="R46" s="124"/>
      <c r="S46" s="122"/>
      <c r="T46" s="122"/>
      <c r="U46" s="122"/>
      <c r="V46" s="122"/>
      <c r="W46" s="122"/>
      <c r="X46" s="122"/>
      <c r="Y46" s="124">
        <v>0</v>
      </c>
      <c r="Z46" s="124">
        <v>0</v>
      </c>
      <c r="AA46" s="124">
        <v>0</v>
      </c>
      <c r="AB46" s="124">
        <f t="shared" si="40"/>
        <v>24952500</v>
      </c>
      <c r="AC46" s="124">
        <f t="shared" si="35"/>
        <v>124762500</v>
      </c>
      <c r="AD46" s="121"/>
      <c r="AE46" s="269"/>
      <c r="AF46" s="129"/>
      <c r="AG46" s="125"/>
      <c r="AH46" s="125"/>
      <c r="AI46" s="122" t="s">
        <v>65</v>
      </c>
      <c r="AJ46" s="122" t="s">
        <v>171</v>
      </c>
    </row>
    <row r="47" spans="1:39" s="126" customFormat="1" x14ac:dyDescent="0.25">
      <c r="A47" s="120"/>
      <c r="B47" s="121">
        <v>46051</v>
      </c>
      <c r="C47" s="271">
        <v>5201005549</v>
      </c>
      <c r="D47" s="122" t="s">
        <v>65</v>
      </c>
      <c r="E47" s="271"/>
      <c r="F47" s="271"/>
      <c r="G47" s="122" t="s">
        <v>45</v>
      </c>
      <c r="H47" s="123">
        <v>2</v>
      </c>
      <c r="I47" s="123"/>
      <c r="J47" s="123">
        <v>225000000</v>
      </c>
      <c r="K47" s="123">
        <f t="shared" si="37"/>
        <v>450000000</v>
      </c>
      <c r="L47" s="123">
        <f t="shared" si="38"/>
        <v>225000000</v>
      </c>
      <c r="M47" s="123">
        <f>(L47/H47)*20%</f>
        <v>22500000</v>
      </c>
      <c r="N47" s="124">
        <f>M47*H47</f>
        <v>45000000</v>
      </c>
      <c r="O47" s="124"/>
      <c r="P47" s="124">
        <f t="shared" si="39"/>
        <v>45000000</v>
      </c>
      <c r="Q47" s="122"/>
      <c r="R47" s="124"/>
      <c r="S47" s="122"/>
      <c r="T47" s="122"/>
      <c r="U47" s="122"/>
      <c r="V47" s="122"/>
      <c r="W47" s="122"/>
      <c r="X47" s="122"/>
      <c r="Y47" s="124">
        <v>0</v>
      </c>
      <c r="Z47" s="124">
        <v>0</v>
      </c>
      <c r="AA47" s="124">
        <v>0</v>
      </c>
      <c r="AB47" s="124">
        <f t="shared" si="40"/>
        <v>45000000</v>
      </c>
      <c r="AC47" s="124">
        <f t="shared" si="35"/>
        <v>225000000</v>
      </c>
      <c r="AD47" s="121"/>
      <c r="AE47" s="269"/>
      <c r="AF47" s="129"/>
      <c r="AG47" s="125"/>
      <c r="AH47" s="125"/>
      <c r="AI47" s="122"/>
      <c r="AJ47" s="122" t="s">
        <v>171</v>
      </c>
    </row>
    <row r="48" spans="1:39" s="126" customFormat="1" x14ac:dyDescent="0.25">
      <c r="A48" s="120"/>
      <c r="B48" s="121">
        <v>46051</v>
      </c>
      <c r="C48" s="271">
        <v>5201005550</v>
      </c>
      <c r="D48" s="122" t="s">
        <v>65</v>
      </c>
      <c r="E48" s="271"/>
      <c r="F48" s="271"/>
      <c r="G48" s="122" t="s">
        <v>45</v>
      </c>
      <c r="H48" s="123">
        <v>2</v>
      </c>
      <c r="I48" s="123"/>
      <c r="J48" s="123">
        <v>225000000</v>
      </c>
      <c r="K48" s="123">
        <f t="shared" si="37"/>
        <v>450000000</v>
      </c>
      <c r="L48" s="123">
        <f t="shared" si="38"/>
        <v>225000000</v>
      </c>
      <c r="M48" s="123">
        <f>(L48/H48)*20%</f>
        <v>22500000</v>
      </c>
      <c r="N48" s="124">
        <f>M48*H48</f>
        <v>45000000</v>
      </c>
      <c r="O48" s="124"/>
      <c r="P48" s="124">
        <f t="shared" si="39"/>
        <v>45000000</v>
      </c>
      <c r="Q48" s="122"/>
      <c r="R48" s="124"/>
      <c r="S48" s="122"/>
      <c r="T48" s="122"/>
      <c r="U48" s="122"/>
      <c r="V48" s="122"/>
      <c r="W48" s="122"/>
      <c r="X48" s="122"/>
      <c r="Y48" s="124">
        <v>0</v>
      </c>
      <c r="Z48" s="124">
        <v>0</v>
      </c>
      <c r="AA48" s="124">
        <v>0</v>
      </c>
      <c r="AB48" s="124">
        <f t="shared" si="40"/>
        <v>45000000</v>
      </c>
      <c r="AC48" s="124">
        <f t="shared" si="35"/>
        <v>225000000</v>
      </c>
      <c r="AD48" s="121"/>
      <c r="AE48" s="269"/>
      <c r="AF48" s="129"/>
      <c r="AG48" s="125"/>
      <c r="AH48" s="125"/>
      <c r="AI48" s="122"/>
      <c r="AJ48" s="122" t="s">
        <v>171</v>
      </c>
    </row>
    <row r="49" spans="1:36" s="126" customFormat="1" x14ac:dyDescent="0.25">
      <c r="A49" s="120"/>
      <c r="B49" s="121">
        <v>46051</v>
      </c>
      <c r="C49" s="271">
        <v>5201005551</v>
      </c>
      <c r="D49" s="122" t="s">
        <v>65</v>
      </c>
      <c r="E49" s="271"/>
      <c r="F49" s="271"/>
      <c r="G49" s="122" t="s">
        <v>192</v>
      </c>
      <c r="H49" s="123">
        <v>16</v>
      </c>
      <c r="I49" s="123"/>
      <c r="J49" s="123">
        <v>37000000</v>
      </c>
      <c r="K49" s="123">
        <f t="shared" si="37"/>
        <v>592000000</v>
      </c>
      <c r="L49" s="123">
        <f t="shared" si="38"/>
        <v>296000000</v>
      </c>
      <c r="M49" s="123">
        <f>(L49/H49)*20%</f>
        <v>3700000</v>
      </c>
      <c r="N49" s="124">
        <f>L49*20%</f>
        <v>59200000</v>
      </c>
      <c r="O49" s="124"/>
      <c r="P49" s="124">
        <f t="shared" si="39"/>
        <v>59200000</v>
      </c>
      <c r="Q49" s="122"/>
      <c r="R49" s="124"/>
      <c r="S49" s="122"/>
      <c r="T49" s="122"/>
      <c r="U49" s="122"/>
      <c r="V49" s="122"/>
      <c r="W49" s="122"/>
      <c r="X49" s="122"/>
      <c r="Y49" s="124">
        <v>0</v>
      </c>
      <c r="Z49" s="124">
        <v>0</v>
      </c>
      <c r="AA49" s="124">
        <v>0</v>
      </c>
      <c r="AB49" s="124">
        <f t="shared" si="40"/>
        <v>59200000</v>
      </c>
      <c r="AC49" s="124">
        <f t="shared" si="35"/>
        <v>296000000</v>
      </c>
      <c r="AD49" s="121"/>
      <c r="AE49" s="269"/>
      <c r="AF49" s="129"/>
      <c r="AG49" s="125"/>
      <c r="AH49" s="125"/>
      <c r="AI49" s="122"/>
      <c r="AJ49" s="122" t="s">
        <v>171</v>
      </c>
    </row>
    <row r="50" spans="1:36" s="126" customFormat="1" x14ac:dyDescent="0.25">
      <c r="A50" s="120"/>
      <c r="B50" s="121">
        <v>46051</v>
      </c>
      <c r="C50" s="271">
        <v>5201005552</v>
      </c>
      <c r="D50" s="122" t="s">
        <v>65</v>
      </c>
      <c r="E50" s="271"/>
      <c r="F50" s="271"/>
      <c r="G50" s="122" t="s">
        <v>193</v>
      </c>
      <c r="H50" s="123">
        <v>16</v>
      </c>
      <c r="I50" s="123"/>
      <c r="J50" s="123">
        <v>37000000</v>
      </c>
      <c r="K50" s="123">
        <f t="shared" si="37"/>
        <v>592000000</v>
      </c>
      <c r="L50" s="123">
        <f t="shared" si="38"/>
        <v>296000000</v>
      </c>
      <c r="M50" s="123">
        <f>(L50/H50)*20%</f>
        <v>3700000</v>
      </c>
      <c r="N50" s="124">
        <f>L50*20%</f>
        <v>59200000</v>
      </c>
      <c r="O50" s="124"/>
      <c r="P50" s="124">
        <f t="shared" si="39"/>
        <v>59200000</v>
      </c>
      <c r="Q50" s="122"/>
      <c r="R50" s="124"/>
      <c r="S50" s="122"/>
      <c r="T50" s="122"/>
      <c r="U50" s="122"/>
      <c r="V50" s="122"/>
      <c r="W50" s="122"/>
      <c r="X50" s="122"/>
      <c r="Y50" s="124">
        <v>0</v>
      </c>
      <c r="Z50" s="124">
        <v>0</v>
      </c>
      <c r="AA50" s="124">
        <v>0</v>
      </c>
      <c r="AB50" s="124">
        <f t="shared" si="40"/>
        <v>59200000</v>
      </c>
      <c r="AC50" s="124">
        <f t="shared" si="35"/>
        <v>296000000</v>
      </c>
      <c r="AD50" s="121"/>
      <c r="AE50" s="269"/>
      <c r="AF50" s="129"/>
      <c r="AG50" s="125"/>
      <c r="AH50" s="125"/>
      <c r="AI50" s="122"/>
      <c r="AJ50" s="122" t="s">
        <v>171</v>
      </c>
    </row>
    <row r="51" spans="1:36" x14ac:dyDescent="0.25">
      <c r="A51" s="31"/>
      <c r="B51" s="16">
        <v>46056</v>
      </c>
      <c r="C51" s="179" t="s">
        <v>208</v>
      </c>
      <c r="D51" s="4" t="s">
        <v>65</v>
      </c>
      <c r="E51" s="179"/>
      <c r="F51" s="179"/>
      <c r="G51" s="4" t="s">
        <v>193</v>
      </c>
      <c r="H51" s="78">
        <v>16</v>
      </c>
      <c r="I51" s="78"/>
      <c r="J51" s="78">
        <v>37000000</v>
      </c>
      <c r="K51" s="78">
        <f t="shared" ref="K51:K53" si="41">H51*J51</f>
        <v>592000000</v>
      </c>
      <c r="L51" s="78">
        <f t="shared" si="38"/>
        <v>296000000</v>
      </c>
      <c r="M51" s="78">
        <f t="shared" ref="M51:M53" si="42">(L51/H51)*20%</f>
        <v>3700000</v>
      </c>
      <c r="N51" s="7">
        <f t="shared" ref="N51:N53" si="43">L51*20%</f>
        <v>59200000</v>
      </c>
      <c r="O51" s="7"/>
      <c r="P51" s="7">
        <f t="shared" ref="P51:P53" si="44">SUM(N51:O51)</f>
        <v>59200000</v>
      </c>
      <c r="Q51" s="4"/>
      <c r="R51" s="7"/>
      <c r="S51" s="4"/>
      <c r="T51" s="4"/>
      <c r="U51" s="4"/>
      <c r="V51" s="4"/>
      <c r="W51" s="4"/>
      <c r="X51" s="4"/>
      <c r="Y51" s="7">
        <v>0</v>
      </c>
      <c r="Z51" s="7">
        <v>0</v>
      </c>
      <c r="AA51" s="7">
        <v>0</v>
      </c>
      <c r="AB51" s="7">
        <f t="shared" ref="AB51:AB52" si="45">N51+O51-AA51</f>
        <v>59200000</v>
      </c>
      <c r="AC51" s="7">
        <f t="shared" ref="AC51:AC53" si="46">L51</f>
        <v>296000000</v>
      </c>
      <c r="AD51" s="16"/>
      <c r="AE51" s="221"/>
      <c r="AF51" s="185"/>
      <c r="AG51" s="27"/>
      <c r="AH51" s="27"/>
      <c r="AI51" s="4"/>
      <c r="AJ51" s="4" t="s">
        <v>171</v>
      </c>
    </row>
    <row r="52" spans="1:36" x14ac:dyDescent="0.25">
      <c r="A52" s="31"/>
      <c r="B52" s="16">
        <v>46056</v>
      </c>
      <c r="C52" s="179" t="s">
        <v>209</v>
      </c>
      <c r="D52" s="4" t="s">
        <v>65</v>
      </c>
      <c r="E52" s="179"/>
      <c r="F52" s="179"/>
      <c r="G52" s="4" t="s">
        <v>193</v>
      </c>
      <c r="H52" s="78">
        <v>16</v>
      </c>
      <c r="I52" s="78"/>
      <c r="J52" s="78">
        <v>37000000</v>
      </c>
      <c r="K52" s="78">
        <f t="shared" si="41"/>
        <v>592000000</v>
      </c>
      <c r="L52" s="78">
        <f t="shared" si="38"/>
        <v>296000000</v>
      </c>
      <c r="M52" s="78">
        <f t="shared" si="42"/>
        <v>3700000</v>
      </c>
      <c r="N52" s="7">
        <f t="shared" si="43"/>
        <v>59200000</v>
      </c>
      <c r="O52" s="7"/>
      <c r="P52" s="7">
        <f t="shared" si="44"/>
        <v>59200000</v>
      </c>
      <c r="Q52" s="4"/>
      <c r="R52" s="7"/>
      <c r="S52" s="4"/>
      <c r="T52" s="4"/>
      <c r="U52" s="4"/>
      <c r="V52" s="4"/>
      <c r="W52" s="4"/>
      <c r="X52" s="4"/>
      <c r="Y52" s="7">
        <v>0</v>
      </c>
      <c r="Z52" s="7">
        <v>0</v>
      </c>
      <c r="AA52" s="7">
        <v>0</v>
      </c>
      <c r="AB52" s="7">
        <f t="shared" si="45"/>
        <v>59200000</v>
      </c>
      <c r="AC52" s="7">
        <f t="shared" si="46"/>
        <v>296000000</v>
      </c>
      <c r="AD52" s="16"/>
      <c r="AE52" s="221"/>
      <c r="AF52" s="185"/>
      <c r="AG52" s="27"/>
      <c r="AH52" s="27"/>
      <c r="AI52" s="4"/>
      <c r="AJ52" s="4" t="s">
        <v>171</v>
      </c>
    </row>
    <row r="53" spans="1:36" x14ac:dyDescent="0.25">
      <c r="A53" s="31"/>
      <c r="B53" s="16">
        <v>46056</v>
      </c>
      <c r="C53" s="179" t="s">
        <v>210</v>
      </c>
      <c r="D53" s="4" t="s">
        <v>65</v>
      </c>
      <c r="E53" s="179"/>
      <c r="F53" s="179"/>
      <c r="G53" s="4" t="s">
        <v>211</v>
      </c>
      <c r="H53" s="78">
        <v>10</v>
      </c>
      <c r="I53" s="78"/>
      <c r="J53" s="78">
        <v>72000000</v>
      </c>
      <c r="K53" s="78">
        <f t="shared" si="41"/>
        <v>720000000</v>
      </c>
      <c r="L53" s="78">
        <f t="shared" si="38"/>
        <v>360000000</v>
      </c>
      <c r="M53" s="78">
        <f t="shared" si="42"/>
        <v>7200000</v>
      </c>
      <c r="N53" s="7">
        <f t="shared" si="43"/>
        <v>72000000</v>
      </c>
      <c r="O53" s="7"/>
      <c r="P53" s="7">
        <f t="shared" si="44"/>
        <v>72000000</v>
      </c>
      <c r="Q53" s="4"/>
      <c r="R53" s="7"/>
      <c r="S53" s="4"/>
      <c r="T53" s="4"/>
      <c r="U53" s="4"/>
      <c r="V53" s="4"/>
      <c r="W53" s="4"/>
      <c r="X53" s="4"/>
      <c r="Y53" s="7"/>
      <c r="Z53" s="7"/>
      <c r="AA53" s="7"/>
      <c r="AB53" s="7"/>
      <c r="AC53" s="7">
        <f t="shared" si="46"/>
        <v>360000000</v>
      </c>
      <c r="AD53" s="16"/>
      <c r="AE53" s="221"/>
      <c r="AF53" s="185"/>
      <c r="AG53" s="27"/>
      <c r="AH53" s="27"/>
      <c r="AI53" s="4"/>
      <c r="AJ53" s="4" t="s">
        <v>171</v>
      </c>
    </row>
    <row r="54" spans="1:36" x14ac:dyDescent="0.25">
      <c r="A54" s="311"/>
      <c r="B54" s="312"/>
      <c r="C54" s="313"/>
      <c r="D54" s="314"/>
      <c r="E54" s="313"/>
      <c r="F54" s="313"/>
      <c r="G54" s="314"/>
      <c r="H54" s="79"/>
      <c r="I54" s="79"/>
      <c r="J54" s="79"/>
      <c r="K54" s="79"/>
      <c r="L54" s="79"/>
      <c r="M54" s="79"/>
      <c r="N54" s="315"/>
      <c r="O54" s="315"/>
      <c r="P54" s="315"/>
      <c r="Q54" s="314"/>
      <c r="R54" s="315"/>
      <c r="S54" s="314"/>
      <c r="T54" s="314"/>
      <c r="U54" s="314"/>
      <c r="V54" s="314"/>
      <c r="W54" s="314"/>
      <c r="X54" s="314"/>
      <c r="Y54" s="315"/>
      <c r="Z54" s="315"/>
      <c r="AA54" s="315"/>
      <c r="AB54" s="315"/>
      <c r="AC54" s="315"/>
      <c r="AD54" s="312"/>
      <c r="AE54" s="316"/>
      <c r="AF54" s="317"/>
      <c r="AG54" s="318"/>
      <c r="AH54" s="318"/>
      <c r="AI54" s="314"/>
      <c r="AJ54" s="314"/>
    </row>
    <row r="55" spans="1:36" x14ac:dyDescent="0.25">
      <c r="A55" s="29"/>
      <c r="B55" s="29"/>
      <c r="G55" s="15"/>
      <c r="H55" s="79"/>
      <c r="I55" s="79"/>
      <c r="J55" s="79"/>
      <c r="K55" s="79"/>
      <c r="L55" s="79"/>
      <c r="M55" s="79"/>
      <c r="N55" s="2"/>
      <c r="O55" s="2"/>
      <c r="P55" s="2"/>
      <c r="R55" s="2"/>
      <c r="Y55" s="2"/>
      <c r="Z55" s="2"/>
      <c r="AA55" s="79"/>
      <c r="AB55" s="2"/>
      <c r="AC55" s="2"/>
      <c r="AD55" s="2"/>
    </row>
    <row r="56" spans="1:36" ht="15.75" thickBot="1" x14ac:dyDescent="0.3">
      <c r="A56" s="29"/>
      <c r="B56" s="29"/>
      <c r="G56" s="15"/>
      <c r="H56" s="79"/>
      <c r="I56" s="79"/>
      <c r="J56" s="79"/>
      <c r="K56" s="79"/>
      <c r="L56" s="79"/>
      <c r="M56" s="79"/>
      <c r="N56" s="2"/>
      <c r="O56" s="2"/>
      <c r="P56" s="2"/>
      <c r="R56" s="2"/>
      <c r="Y56" s="2"/>
      <c r="Z56" s="2"/>
      <c r="AA56" s="79"/>
      <c r="AB56" s="2"/>
      <c r="AC56" s="2"/>
      <c r="AD56" s="2"/>
    </row>
    <row r="57" spans="1:36" ht="15.75" thickBot="1" x14ac:dyDescent="0.3">
      <c r="C57" s="32" t="s">
        <v>51</v>
      </c>
      <c r="D57" s="253"/>
      <c r="E57" s="19">
        <f>SUM(E12:E45)</f>
        <v>1677598970</v>
      </c>
      <c r="F57" s="19">
        <f>SUM(F12:F45)</f>
        <v>8286486100</v>
      </c>
      <c r="G57" s="18"/>
      <c r="H57" s="18"/>
      <c r="I57" s="18"/>
      <c r="J57" s="18"/>
      <c r="K57" s="19">
        <f>SUM(K12:K45)</f>
        <v>27197512600</v>
      </c>
      <c r="L57" s="19">
        <f>SUM(L12:L45)</f>
        <v>13598756300</v>
      </c>
      <c r="M57" s="18"/>
      <c r="N57" s="19">
        <f>SUM(N12:N45)</f>
        <v>2713031010</v>
      </c>
      <c r="O57" s="19">
        <f>SUM(O12:O45)</f>
        <v>132522000</v>
      </c>
      <c r="P57" s="19">
        <f>SUM(P12:P45)</f>
        <v>2845553010</v>
      </c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9">
        <f>SUM(AA12:AA45)</f>
        <v>2752889010</v>
      </c>
      <c r="AB57" s="19">
        <f>SUM(AB12:AB44)</f>
        <v>1075290040</v>
      </c>
      <c r="AC57" s="19">
        <f>SUM(AC12:AC50)</f>
        <v>6479032700</v>
      </c>
      <c r="AD57" s="24"/>
    </row>
    <row r="58" spans="1:36" x14ac:dyDescent="0.25">
      <c r="H58" s="9"/>
      <c r="I58" s="9"/>
      <c r="J58" s="9"/>
      <c r="K58" s="9"/>
      <c r="L58" s="9"/>
      <c r="M58" s="248"/>
      <c r="N58" s="9"/>
      <c r="O58" s="9"/>
      <c r="P58" s="248"/>
      <c r="AB58" s="2"/>
      <c r="AC58" s="2"/>
    </row>
    <row r="59" spans="1:36" x14ac:dyDescent="0.25">
      <c r="H59" s="302" t="s">
        <v>36</v>
      </c>
      <c r="I59" s="302"/>
      <c r="J59" s="302" t="s">
        <v>37</v>
      </c>
      <c r="K59" s="302" t="s">
        <v>38</v>
      </c>
      <c r="L59" s="302" t="s">
        <v>39</v>
      </c>
      <c r="M59" s="302" t="s">
        <v>40</v>
      </c>
      <c r="N59" s="302" t="s">
        <v>41</v>
      </c>
      <c r="O59" s="9"/>
      <c r="P59" s="9"/>
      <c r="AC59">
        <v>6354270200</v>
      </c>
    </row>
    <row r="60" spans="1:36" ht="15.75" thickBot="1" x14ac:dyDescent="0.3">
      <c r="H60" s="305" t="s">
        <v>32</v>
      </c>
      <c r="I60" s="319" t="s">
        <v>46</v>
      </c>
      <c r="J60" s="319" t="s">
        <v>42</v>
      </c>
      <c r="K60" s="305" t="s">
        <v>8</v>
      </c>
      <c r="L60" s="306" t="s">
        <v>71</v>
      </c>
      <c r="M60" s="306" t="s">
        <v>133</v>
      </c>
      <c r="N60" s="305" t="s">
        <v>30</v>
      </c>
      <c r="O60" s="33"/>
      <c r="P60" s="33"/>
      <c r="AC60" s="2">
        <f>AC57-AC59</f>
        <v>124762500</v>
      </c>
    </row>
    <row r="61" spans="1:36" x14ac:dyDescent="0.25">
      <c r="B61" s="226" t="s">
        <v>191</v>
      </c>
      <c r="C61" s="227">
        <f>SUM(I77)</f>
        <v>6401698600</v>
      </c>
      <c r="H61" s="222">
        <v>45839</v>
      </c>
      <c r="I61" s="307">
        <f>SUM(L12:L14)</f>
        <v>900000000</v>
      </c>
      <c r="J61" s="308"/>
      <c r="K61" s="307">
        <f>SUM(AA12:AA14)</f>
        <v>180000000</v>
      </c>
      <c r="L61" s="308"/>
      <c r="M61" s="308"/>
      <c r="N61" s="307">
        <f>I61+K61</f>
        <v>1080000000</v>
      </c>
      <c r="O61" s="2"/>
      <c r="P61" s="2"/>
      <c r="AB61" s="2"/>
      <c r="AC61" s="2"/>
    </row>
    <row r="62" spans="1:36" x14ac:dyDescent="0.25">
      <c r="B62" s="228" t="s">
        <v>199</v>
      </c>
      <c r="C62" s="229">
        <f>AC57</f>
        <v>6479032700</v>
      </c>
      <c r="H62" s="222">
        <v>45870</v>
      </c>
      <c r="I62" s="307">
        <f>SUM(L15:L18)</f>
        <v>1125000000</v>
      </c>
      <c r="J62" s="307">
        <f>SUM(L19:L22)</f>
        <v>1606174500</v>
      </c>
      <c r="K62" s="307">
        <f>SUM(AA15:AA18)</f>
        <v>225000000</v>
      </c>
      <c r="L62" s="307"/>
      <c r="M62" s="307"/>
      <c r="N62" s="307">
        <f>N61+I62+K62+L62-J62-M62</f>
        <v>823825500</v>
      </c>
      <c r="O62" s="2"/>
      <c r="P62" s="2"/>
    </row>
    <row r="63" spans="1:36" x14ac:dyDescent="0.25">
      <c r="B63" s="296" t="s">
        <v>200</v>
      </c>
      <c r="C63" s="297">
        <f>C61-C62</f>
        <v>-77334100</v>
      </c>
      <c r="H63" s="222">
        <v>45901</v>
      </c>
      <c r="I63" s="307">
        <v>1426698600</v>
      </c>
      <c r="J63" s="307">
        <f>SUM(L23:L27)</f>
        <v>2250524100</v>
      </c>
      <c r="K63" s="307"/>
      <c r="L63" s="307"/>
      <c r="M63" s="307"/>
      <c r="N63" s="307">
        <f>N62+I63+K63+L63-J63</f>
        <v>0</v>
      </c>
      <c r="O63" s="2"/>
      <c r="P63" s="2"/>
    </row>
    <row r="64" spans="1:36" x14ac:dyDescent="0.25">
      <c r="B64" s="228"/>
      <c r="C64" s="229"/>
      <c r="H64" s="222">
        <v>45931</v>
      </c>
      <c r="I64" s="307"/>
      <c r="J64" s="307">
        <f>L29+L28</f>
        <v>342500000</v>
      </c>
      <c r="K64" s="307"/>
      <c r="L64" s="307"/>
      <c r="M64" s="307"/>
      <c r="N64" s="307">
        <f>N63+I64+K64+L64-J64</f>
        <v>-342500000</v>
      </c>
      <c r="O64" s="2"/>
      <c r="P64" s="2"/>
    </row>
    <row r="65" spans="2:25" x14ac:dyDescent="0.25">
      <c r="B65" s="228" t="s">
        <v>72</v>
      </c>
      <c r="C65" s="229">
        <f>SUM(P12:P44)</f>
        <v>2752889010</v>
      </c>
      <c r="H65" s="222">
        <v>45962</v>
      </c>
      <c r="I65" s="307"/>
      <c r="J65" s="307">
        <f>-SUM(L19:L28)+SUM(L30:L42)</f>
        <v>2335313900</v>
      </c>
      <c r="K65" s="307">
        <f>SUM(AA19:AA28)</f>
        <v>830880470</v>
      </c>
      <c r="L65" s="307"/>
      <c r="M65" s="307">
        <v>1105000000</v>
      </c>
      <c r="N65" s="307">
        <f t="shared" ref="N65:N76" si="47">N64+I65+K65+L65-J65-M65</f>
        <v>-2951933430</v>
      </c>
      <c r="O65" s="2"/>
      <c r="P65" s="2"/>
    </row>
    <row r="66" spans="2:25" x14ac:dyDescent="0.25">
      <c r="B66" s="228" t="s">
        <v>201</v>
      </c>
      <c r="C66" s="229">
        <f>M65</f>
        <v>1105000000</v>
      </c>
      <c r="H66" s="185">
        <v>46007</v>
      </c>
      <c r="I66" s="307">
        <v>1300000000</v>
      </c>
      <c r="J66" s="307">
        <f>L43+L44+L45</f>
        <v>1182545200</v>
      </c>
      <c r="K66" s="307"/>
      <c r="L66" s="307"/>
      <c r="M66" s="307"/>
      <c r="N66" s="307">
        <f t="shared" si="47"/>
        <v>-2834478630</v>
      </c>
      <c r="O66" s="2"/>
      <c r="P66" s="2"/>
      <c r="S66" s="1"/>
    </row>
    <row r="67" spans="2:25" x14ac:dyDescent="0.25">
      <c r="B67" s="228" t="s">
        <v>138</v>
      </c>
      <c r="C67" s="229">
        <f>C65-C66</f>
        <v>1647889010</v>
      </c>
      <c r="D67" s="29">
        <f>C65-C68</f>
        <v>1677598970</v>
      </c>
      <c r="H67" s="185">
        <v>46014</v>
      </c>
      <c r="I67" s="307">
        <v>250000000</v>
      </c>
      <c r="J67" s="307"/>
      <c r="K67" s="307"/>
      <c r="L67" s="307"/>
      <c r="M67" s="307"/>
      <c r="N67" s="307">
        <f t="shared" si="47"/>
        <v>-2584478630</v>
      </c>
      <c r="O67" s="2"/>
      <c r="P67" s="2"/>
      <c r="S67" s="1"/>
    </row>
    <row r="68" spans="2:25" x14ac:dyDescent="0.25">
      <c r="B68" s="228" t="s">
        <v>202</v>
      </c>
      <c r="C68" s="234">
        <f>SUM(AB29:AB44)</f>
        <v>1075290040</v>
      </c>
      <c r="H68" s="185">
        <v>46015</v>
      </c>
      <c r="I68" s="307">
        <v>250000000</v>
      </c>
      <c r="J68" s="307"/>
      <c r="K68" s="307"/>
      <c r="L68" s="307"/>
      <c r="M68" s="307"/>
      <c r="N68" s="307">
        <f t="shared" si="47"/>
        <v>-2334478630</v>
      </c>
      <c r="O68" s="2"/>
      <c r="P68" s="2"/>
      <c r="S68" s="1"/>
    </row>
    <row r="69" spans="2:25" x14ac:dyDescent="0.25">
      <c r="B69" s="296" t="s">
        <v>203</v>
      </c>
      <c r="C69" s="297">
        <f>C67-C68</f>
        <v>572598970</v>
      </c>
      <c r="D69" s="2"/>
      <c r="H69" s="185">
        <v>46016</v>
      </c>
      <c r="I69" s="307">
        <v>250000000</v>
      </c>
      <c r="J69" s="307"/>
      <c r="K69" s="307"/>
      <c r="L69" s="307"/>
      <c r="M69" s="307"/>
      <c r="N69" s="307">
        <f t="shared" si="47"/>
        <v>-2084478630</v>
      </c>
      <c r="O69" s="2"/>
      <c r="P69" s="2"/>
      <c r="S69" s="1"/>
    </row>
    <row r="70" spans="2:25" x14ac:dyDescent="0.25">
      <c r="B70" s="230" t="s">
        <v>207</v>
      </c>
      <c r="C70" s="231">
        <f>C63+C69</f>
        <v>495264870</v>
      </c>
      <c r="D70" s="2"/>
      <c r="E70" s="2"/>
      <c r="F70" s="2"/>
      <c r="G70" s="2"/>
      <c r="H70" s="185">
        <v>46017</v>
      </c>
      <c r="I70" s="307">
        <v>250000000</v>
      </c>
      <c r="J70" s="307"/>
      <c r="K70" s="307"/>
      <c r="L70" s="307"/>
      <c r="M70" s="307"/>
      <c r="N70" s="307">
        <f t="shared" si="47"/>
        <v>-1834478630</v>
      </c>
      <c r="O70" s="2"/>
      <c r="P70" s="2"/>
      <c r="S70" s="1"/>
    </row>
    <row r="71" spans="2:25" x14ac:dyDescent="0.25">
      <c r="B71" s="228"/>
      <c r="C71" s="229"/>
      <c r="D71" s="254"/>
      <c r="E71" s="2"/>
      <c r="F71" s="2"/>
      <c r="H71" s="185">
        <v>46018</v>
      </c>
      <c r="I71" s="307">
        <v>250000000</v>
      </c>
      <c r="J71" s="307"/>
      <c r="K71" s="307"/>
      <c r="L71" s="307"/>
      <c r="M71" s="307"/>
      <c r="N71" s="307">
        <f t="shared" si="47"/>
        <v>-1584478630</v>
      </c>
      <c r="O71" s="2"/>
      <c r="P71" s="2"/>
      <c r="S71" s="1"/>
    </row>
    <row r="72" spans="2:25" ht="15.75" thickBot="1" x14ac:dyDescent="0.3">
      <c r="B72" s="232"/>
      <c r="C72" s="233"/>
      <c r="D72" s="2"/>
      <c r="E72" s="254"/>
      <c r="F72" s="254"/>
      <c r="H72" s="185">
        <v>46019</v>
      </c>
      <c r="I72" s="307">
        <v>250000000</v>
      </c>
      <c r="J72" s="307"/>
      <c r="K72" s="307"/>
      <c r="L72" s="307"/>
      <c r="M72" s="307"/>
      <c r="N72" s="307">
        <f t="shared" si="47"/>
        <v>-1334478630</v>
      </c>
      <c r="O72" s="2"/>
      <c r="P72" s="2"/>
      <c r="S72" s="1"/>
    </row>
    <row r="73" spans="2:25" ht="15.75" thickTop="1" x14ac:dyDescent="0.25">
      <c r="D73" s="24"/>
      <c r="E73" s="24"/>
      <c r="F73" s="24"/>
      <c r="H73" s="185">
        <v>46020</v>
      </c>
      <c r="I73" s="307">
        <v>150000000</v>
      </c>
      <c r="J73" s="307"/>
      <c r="K73" s="307"/>
      <c r="L73" s="307"/>
      <c r="M73" s="307"/>
      <c r="N73" s="307">
        <f t="shared" si="47"/>
        <v>-1184478630</v>
      </c>
      <c r="O73" s="2"/>
      <c r="P73" s="2"/>
      <c r="S73" s="1"/>
    </row>
    <row r="74" spans="2:25" x14ac:dyDescent="0.25">
      <c r="D74" s="2"/>
      <c r="E74" s="2"/>
      <c r="F74" s="2"/>
      <c r="H74" s="185">
        <v>46034</v>
      </c>
      <c r="I74" s="307"/>
      <c r="J74" s="307">
        <f>-SUM(L29:L30,L34:L35)</f>
        <v>-2404787500</v>
      </c>
      <c r="K74" s="307">
        <f>SUM(AA29:AA30)</f>
        <v>209618500</v>
      </c>
      <c r="L74" s="307"/>
      <c r="M74" s="307"/>
      <c r="N74" s="307">
        <f t="shared" si="47"/>
        <v>1429927370</v>
      </c>
      <c r="O74" s="2"/>
      <c r="P74" s="2"/>
      <c r="S74" s="1"/>
    </row>
    <row r="75" spans="2:25" x14ac:dyDescent="0.25">
      <c r="D75" s="24"/>
      <c r="E75" s="24"/>
      <c r="F75" s="24"/>
      <c r="H75" s="185">
        <v>46045</v>
      </c>
      <c r="I75" s="307"/>
      <c r="J75" s="307">
        <f>SUM(L46:L50)</f>
        <v>1166762500</v>
      </c>
      <c r="K75" s="307"/>
      <c r="L75" s="307"/>
      <c r="M75" s="307"/>
      <c r="N75" s="307">
        <f t="shared" si="47"/>
        <v>263164870</v>
      </c>
      <c r="O75" s="24"/>
      <c r="P75" s="24"/>
      <c r="S75" s="2"/>
    </row>
    <row r="76" spans="2:25" x14ac:dyDescent="0.25">
      <c r="G76" s="2"/>
      <c r="H76" s="185">
        <v>46056</v>
      </c>
      <c r="I76" s="307"/>
      <c r="J76" s="307"/>
      <c r="K76" s="307">
        <f>SUM(AA35)</f>
        <v>232100000</v>
      </c>
      <c r="L76" s="307"/>
      <c r="M76" s="307">
        <v>495264870</v>
      </c>
      <c r="N76" s="307">
        <f t="shared" si="47"/>
        <v>0</v>
      </c>
    </row>
    <row r="77" spans="2:25" x14ac:dyDescent="0.25">
      <c r="H77" s="309"/>
      <c r="I77" s="310">
        <f>SUM(I61:I75)</f>
        <v>6401698600</v>
      </c>
      <c r="J77" s="310">
        <f>SUM(J61:J75)</f>
        <v>6479032700</v>
      </c>
      <c r="K77" s="310">
        <f>SUM(K61:K76)</f>
        <v>1677598970</v>
      </c>
      <c r="L77" s="310">
        <f>SUM(L61:L66)</f>
        <v>0</v>
      </c>
      <c r="M77" s="310">
        <f>SUM(M61:M76)</f>
        <v>1600264870</v>
      </c>
      <c r="N77" s="310">
        <f>I77+K77+L77-J77-M77</f>
        <v>0</v>
      </c>
    </row>
    <row r="78" spans="2:25" x14ac:dyDescent="0.25">
      <c r="H78" s="303"/>
      <c r="I78" s="303"/>
      <c r="J78" s="303"/>
      <c r="K78" s="303"/>
      <c r="L78" s="202"/>
      <c r="M78" s="202"/>
      <c r="N78" s="202"/>
      <c r="O78" s="2"/>
    </row>
    <row r="79" spans="2:25" x14ac:dyDescent="0.25">
      <c r="D79" s="1"/>
      <c r="E79" s="1"/>
      <c r="F79" s="1"/>
      <c r="H79" s="167" t="s">
        <v>47</v>
      </c>
      <c r="I79" s="189">
        <f>I77-J77+K77-M77</f>
        <v>0</v>
      </c>
      <c r="J79" s="188"/>
      <c r="K79" s="168"/>
      <c r="L79" s="304" t="s">
        <v>148</v>
      </c>
      <c r="M79" s="202"/>
      <c r="N79" s="303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2:25" x14ac:dyDescent="0.25">
      <c r="E80" s="1"/>
      <c r="F80" s="1"/>
      <c r="H80" s="167" t="s">
        <v>8</v>
      </c>
      <c r="I80" s="168">
        <f>SUM(P12:P27)</f>
        <v>1235880470</v>
      </c>
      <c r="J80" s="189">
        <f>J77-C62</f>
        <v>0</v>
      </c>
      <c r="K80" s="168"/>
      <c r="L80" s="202" t="s">
        <v>149</v>
      </c>
      <c r="M80" s="303">
        <f>I77</f>
        <v>6401698600</v>
      </c>
      <c r="N80" s="303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39" x14ac:dyDescent="0.25">
      <c r="D81" s="2"/>
      <c r="E81" s="1"/>
      <c r="F81" s="1"/>
      <c r="H81" s="167" t="s">
        <v>144</v>
      </c>
      <c r="I81" s="168">
        <f>-J77</f>
        <v>-6479032700</v>
      </c>
      <c r="J81" s="188" t="s">
        <v>146</v>
      </c>
      <c r="K81" s="168"/>
      <c r="L81" s="202" t="s">
        <v>8</v>
      </c>
      <c r="M81" s="299">
        <f>K77</f>
        <v>1677598970</v>
      </c>
      <c r="N81" s="299"/>
      <c r="Y81" s="2"/>
    </row>
    <row r="82" spans="1:39" x14ac:dyDescent="0.25">
      <c r="H82" s="167" t="s">
        <v>133</v>
      </c>
      <c r="I82" s="168">
        <f>-M65</f>
        <v>-1105000000</v>
      </c>
      <c r="J82" s="188"/>
      <c r="K82" s="168"/>
      <c r="L82" s="202" t="s">
        <v>35</v>
      </c>
      <c r="M82" s="300">
        <f>-M65</f>
        <v>-1105000000</v>
      </c>
      <c r="N82" s="301"/>
      <c r="Y82" s="24"/>
    </row>
    <row r="83" spans="1:39" ht="15.75" thickBot="1" x14ac:dyDescent="0.3">
      <c r="H83" s="200" t="s">
        <v>145</v>
      </c>
      <c r="I83" s="201">
        <f>I79+I80+I81+I82</f>
        <v>-6348152230</v>
      </c>
      <c r="J83" s="188"/>
      <c r="K83" s="168"/>
      <c r="L83" s="202" t="s">
        <v>48</v>
      </c>
      <c r="M83" s="300">
        <f>-J77</f>
        <v>-6479032700</v>
      </c>
      <c r="N83" s="303"/>
      <c r="Y83" s="2"/>
    </row>
    <row r="84" spans="1:39" ht="16.5" thickTop="1" thickBot="1" x14ac:dyDescent="0.3">
      <c r="B84" t="s">
        <v>194</v>
      </c>
      <c r="C84" s="2">
        <f>I77</f>
        <v>6401698600</v>
      </c>
      <c r="D84" s="28"/>
      <c r="E84" s="28"/>
      <c r="F84" s="28"/>
      <c r="H84" s="202"/>
      <c r="I84" s="202"/>
      <c r="J84" s="202"/>
      <c r="K84" s="190"/>
      <c r="L84" s="205" t="s">
        <v>167</v>
      </c>
      <c r="M84" s="204">
        <f>M80+M81+M82+M83</f>
        <v>495264870</v>
      </c>
      <c r="N84" s="189"/>
      <c r="O84" s="4" t="s">
        <v>5</v>
      </c>
      <c r="Y84" s="2"/>
    </row>
    <row r="85" spans="1:39" ht="15.75" thickTop="1" x14ac:dyDescent="0.25">
      <c r="B85" t="s">
        <v>195</v>
      </c>
      <c r="C85" s="2">
        <f>SUM(L31,L35:L44)</f>
        <v>4954450200</v>
      </c>
      <c r="H85" s="167" t="s">
        <v>147</v>
      </c>
      <c r="I85" s="168">
        <f>SUM(L29:L42,P29:P42)</f>
        <v>7907676000</v>
      </c>
      <c r="J85" s="167" t="s">
        <v>146</v>
      </c>
      <c r="N85" s="2"/>
      <c r="O85" s="7">
        <f>M87+N87</f>
        <v>2429580000</v>
      </c>
      <c r="Y85" s="24"/>
      <c r="Z85" s="2"/>
    </row>
    <row r="86" spans="1:39" x14ac:dyDescent="0.25">
      <c r="B86" t="s">
        <v>196</v>
      </c>
      <c r="C86" s="2">
        <f>C84-C85</f>
        <v>1447248400</v>
      </c>
      <c r="D86" s="28"/>
      <c r="E86" s="28"/>
      <c r="F86" s="28"/>
      <c r="H86" s="80"/>
      <c r="I86" s="2"/>
      <c r="K86" s="24"/>
      <c r="L86" s="44" t="s">
        <v>166</v>
      </c>
      <c r="M86" s="44" t="s">
        <v>157</v>
      </c>
      <c r="N86" s="77" t="s">
        <v>165</v>
      </c>
      <c r="O86" s="7">
        <f>M88+N88</f>
        <v>2808315000</v>
      </c>
    </row>
    <row r="87" spans="1:39" x14ac:dyDescent="0.25">
      <c r="L87" s="222">
        <v>46023</v>
      </c>
      <c r="M87" s="7">
        <f>SUM(AA31,AA39:AA42)</f>
        <v>404930000</v>
      </c>
      <c r="N87" s="7">
        <f>SUM(L31,L39:L42)</f>
        <v>2024650000</v>
      </c>
      <c r="O87" s="8">
        <f>SUM(O85:O86)</f>
        <v>5237895000</v>
      </c>
    </row>
    <row r="88" spans="1:39" x14ac:dyDescent="0.25">
      <c r="I88" s="1">
        <v>130000000</v>
      </c>
      <c r="L88" s="222">
        <v>46054</v>
      </c>
      <c r="M88" s="7">
        <f>SUM(AA33:AA35,AA43)</f>
        <v>468052500</v>
      </c>
      <c r="N88" s="7">
        <f>SUM(L33:L35,L43)</f>
        <v>2340262500</v>
      </c>
    </row>
    <row r="89" spans="1:39" x14ac:dyDescent="0.25">
      <c r="C89" s="28"/>
      <c r="L89" s="44" t="s">
        <v>157</v>
      </c>
      <c r="M89" s="8">
        <f>SUM(M87:M88)</f>
        <v>872982500</v>
      </c>
      <c r="N89" s="8">
        <f>SUM(N87:N88)</f>
        <v>4364912500</v>
      </c>
      <c r="O89" s="7">
        <f>M91+N91</f>
        <v>2529429240</v>
      </c>
    </row>
    <row r="90" spans="1:39" x14ac:dyDescent="0.25">
      <c r="L90" s="224"/>
      <c r="M90" s="225"/>
      <c r="O90" s="8">
        <f>O87+O89</f>
        <v>7767324240</v>
      </c>
    </row>
    <row r="91" spans="1:39" x14ac:dyDescent="0.25">
      <c r="C91" s="28"/>
      <c r="L91" s="222" t="s">
        <v>163</v>
      </c>
      <c r="M91" s="223">
        <f>SUM(AB36:AB38,AB44:AB45)</f>
        <v>421571540</v>
      </c>
      <c r="N91" s="223">
        <f>SUM(L36:L38,L44:L45)</f>
        <v>2107857700</v>
      </c>
    </row>
    <row r="92" spans="1:39" x14ac:dyDescent="0.25">
      <c r="D92" s="1"/>
      <c r="L92" s="14" t="s">
        <v>164</v>
      </c>
      <c r="M92" s="8">
        <f>M89+M91</f>
        <v>1294554040</v>
      </c>
      <c r="N92" s="8">
        <f>N89+N91</f>
        <v>6472770200</v>
      </c>
    </row>
    <row r="93" spans="1:39" x14ac:dyDescent="0.25">
      <c r="B93" t="s">
        <v>206</v>
      </c>
      <c r="D93" s="1"/>
      <c r="O93" s="2"/>
    </row>
    <row r="94" spans="1:39" ht="14.25" customHeight="1" x14ac:dyDescent="0.25">
      <c r="A94" s="31"/>
      <c r="B94" s="16">
        <v>46044</v>
      </c>
      <c r="C94" s="179">
        <v>5201004137</v>
      </c>
      <c r="D94" s="4" t="s">
        <v>65</v>
      </c>
      <c r="E94" s="4"/>
      <c r="F94" s="4"/>
      <c r="G94" s="4" t="s">
        <v>188</v>
      </c>
      <c r="O94" s="7"/>
      <c r="P94" s="7">
        <f t="shared" ref="P94:P99" si="48">SUM(N94:O94)</f>
        <v>0</v>
      </c>
      <c r="Q94" s="4"/>
      <c r="R94" s="7"/>
      <c r="S94" s="4"/>
      <c r="T94" s="4"/>
      <c r="U94" s="4"/>
      <c r="V94" s="4"/>
      <c r="W94" s="4"/>
      <c r="X94" s="4"/>
      <c r="Y94" s="7">
        <v>0</v>
      </c>
      <c r="Z94" s="7">
        <v>0</v>
      </c>
      <c r="AA94" s="7">
        <v>0</v>
      </c>
      <c r="AB94" s="7">
        <f t="shared" ref="AB94:AB99" si="49">N95+O94-AA94</f>
        <v>92664000</v>
      </c>
      <c r="AC94" s="7">
        <v>594462700</v>
      </c>
      <c r="AD94" s="16"/>
      <c r="AE94" s="221"/>
      <c r="AF94" s="185"/>
      <c r="AG94" s="27"/>
      <c r="AH94" s="27"/>
      <c r="AI94" s="4" t="s">
        <v>65</v>
      </c>
      <c r="AJ94" s="4" t="s">
        <v>171</v>
      </c>
      <c r="AK94" s="82"/>
      <c r="AL94" s="2"/>
      <c r="AM94" s="2"/>
    </row>
    <row r="95" spans="1:39" ht="14.25" customHeight="1" x14ac:dyDescent="0.25">
      <c r="A95" s="31"/>
      <c r="B95" s="16">
        <v>46045</v>
      </c>
      <c r="C95" s="179">
        <v>5201004344</v>
      </c>
      <c r="D95" s="4" t="s">
        <v>65</v>
      </c>
      <c r="E95" s="4"/>
      <c r="F95" s="4"/>
      <c r="G95" s="4" t="s">
        <v>114</v>
      </c>
      <c r="H95" s="78">
        <v>1</v>
      </c>
      <c r="I95" s="78"/>
      <c r="J95" s="78">
        <v>926640000</v>
      </c>
      <c r="K95" s="123">
        <f t="shared" ref="K95:K100" si="50">H95*J95</f>
        <v>926640000</v>
      </c>
      <c r="L95" s="78">
        <f t="shared" ref="L95:L100" si="51">K95*50%</f>
        <v>463320000</v>
      </c>
      <c r="M95" s="78">
        <f>L95*20%</f>
        <v>92664000</v>
      </c>
      <c r="N95" s="7">
        <f>(L95*20%)+I95</f>
        <v>92664000</v>
      </c>
      <c r="O95" s="7"/>
      <c r="P95" s="7">
        <f t="shared" si="48"/>
        <v>92664000</v>
      </c>
      <c r="Q95" s="4"/>
      <c r="R95" s="7"/>
      <c r="S95" s="4"/>
      <c r="T95" s="4"/>
      <c r="U95" s="4"/>
      <c r="V95" s="4"/>
      <c r="W95" s="4"/>
      <c r="X95" s="4"/>
      <c r="Y95" s="7">
        <v>0</v>
      </c>
      <c r="Z95" s="7">
        <v>0</v>
      </c>
      <c r="AA95" s="7">
        <v>0</v>
      </c>
      <c r="AB95" s="7">
        <f t="shared" si="49"/>
        <v>24952500</v>
      </c>
      <c r="AC95" s="7"/>
      <c r="AD95" s="16"/>
      <c r="AE95" s="221"/>
      <c r="AF95" s="185"/>
      <c r="AG95" s="256"/>
      <c r="AH95" s="27"/>
      <c r="AI95" s="4" t="s">
        <v>65</v>
      </c>
      <c r="AJ95" s="4" t="s">
        <v>171</v>
      </c>
      <c r="AK95" s="82"/>
      <c r="AL95" s="2"/>
      <c r="AM95" s="2"/>
    </row>
    <row r="96" spans="1:39" ht="14.25" customHeight="1" x14ac:dyDescent="0.25">
      <c r="A96" s="31"/>
      <c r="B96" s="16">
        <v>46051</v>
      </c>
      <c r="C96" s="179">
        <v>5201005549</v>
      </c>
      <c r="D96" s="4" t="s">
        <v>65</v>
      </c>
      <c r="E96" s="179"/>
      <c r="F96" s="179"/>
      <c r="G96" s="4" t="s">
        <v>45</v>
      </c>
      <c r="H96" s="78">
        <v>50</v>
      </c>
      <c r="I96" s="78"/>
      <c r="J96" s="78">
        <f>249525000/H96</f>
        <v>4990500</v>
      </c>
      <c r="K96" s="78">
        <f t="shared" si="50"/>
        <v>249525000</v>
      </c>
      <c r="L96" s="78">
        <f t="shared" si="51"/>
        <v>124762500</v>
      </c>
      <c r="M96" s="78">
        <f>(L96/H96)*20%</f>
        <v>499050</v>
      </c>
      <c r="N96" s="7">
        <f>(L96*20%)+I96</f>
        <v>24952500</v>
      </c>
      <c r="O96" s="7"/>
      <c r="P96" s="7">
        <f t="shared" si="48"/>
        <v>24952500</v>
      </c>
      <c r="Q96" s="4"/>
      <c r="R96" s="7"/>
      <c r="S96" s="4"/>
      <c r="T96" s="4"/>
      <c r="U96" s="4"/>
      <c r="V96" s="4"/>
      <c r="W96" s="4"/>
      <c r="X96" s="4"/>
      <c r="Y96" s="7">
        <v>0</v>
      </c>
      <c r="Z96" s="7">
        <v>0</v>
      </c>
      <c r="AA96" s="7">
        <v>0</v>
      </c>
      <c r="AB96" s="7">
        <f t="shared" si="49"/>
        <v>45000000</v>
      </c>
      <c r="AC96" s="7"/>
      <c r="AD96" s="16"/>
      <c r="AE96" s="221"/>
      <c r="AF96" s="185"/>
      <c r="AG96" s="256"/>
      <c r="AH96" s="27"/>
      <c r="AI96" s="4"/>
      <c r="AJ96" s="4" t="s">
        <v>171</v>
      </c>
      <c r="AK96" s="82"/>
      <c r="AL96" s="2"/>
      <c r="AM96" s="2"/>
    </row>
    <row r="97" spans="1:39" ht="14.25" customHeight="1" x14ac:dyDescent="0.25">
      <c r="A97" s="31"/>
      <c r="B97" s="16">
        <v>46051</v>
      </c>
      <c r="C97" s="179">
        <v>5201005550</v>
      </c>
      <c r="D97" s="4" t="s">
        <v>65</v>
      </c>
      <c r="E97" s="179"/>
      <c r="F97" s="179"/>
      <c r="G97" s="4" t="s">
        <v>45</v>
      </c>
      <c r="H97" s="78">
        <v>2</v>
      </c>
      <c r="I97" s="78"/>
      <c r="J97" s="78">
        <v>225000000</v>
      </c>
      <c r="K97" s="78">
        <f t="shared" si="50"/>
        <v>450000000</v>
      </c>
      <c r="L97" s="78">
        <f t="shared" si="51"/>
        <v>225000000</v>
      </c>
      <c r="M97" s="78">
        <f>(L97/H97)*20%</f>
        <v>22500000</v>
      </c>
      <c r="N97" s="7">
        <f>M97*H97</f>
        <v>45000000</v>
      </c>
      <c r="O97" s="7"/>
      <c r="P97" s="7">
        <f t="shared" si="48"/>
        <v>45000000</v>
      </c>
      <c r="Q97" s="4"/>
      <c r="R97" s="7"/>
      <c r="S97" s="4"/>
      <c r="T97" s="4"/>
      <c r="U97" s="4"/>
      <c r="V97" s="4"/>
      <c r="W97" s="4"/>
      <c r="X97" s="4"/>
      <c r="Y97" s="7">
        <v>0</v>
      </c>
      <c r="Z97" s="7">
        <v>0</v>
      </c>
      <c r="AA97" s="7">
        <v>0</v>
      </c>
      <c r="AB97" s="7">
        <f t="shared" si="49"/>
        <v>45000000</v>
      </c>
      <c r="AC97" s="7"/>
      <c r="AD97" s="16"/>
      <c r="AE97" s="221"/>
      <c r="AF97" s="185"/>
      <c r="AG97" s="256"/>
      <c r="AH97" s="27"/>
      <c r="AI97" s="4"/>
      <c r="AJ97" s="4" t="s">
        <v>171</v>
      </c>
      <c r="AK97" s="82"/>
      <c r="AL97" s="2"/>
      <c r="AM97" s="2"/>
    </row>
    <row r="98" spans="1:39" ht="14.25" customHeight="1" x14ac:dyDescent="0.25">
      <c r="A98" s="31"/>
      <c r="B98" s="16">
        <v>46051</v>
      </c>
      <c r="C98" s="179">
        <v>5201005551</v>
      </c>
      <c r="D98" s="4" t="s">
        <v>65</v>
      </c>
      <c r="E98" s="179"/>
      <c r="F98" s="179"/>
      <c r="G98" s="4" t="s">
        <v>192</v>
      </c>
      <c r="H98" s="78">
        <v>2</v>
      </c>
      <c r="I98" s="78"/>
      <c r="J98" s="78">
        <v>225000000</v>
      </c>
      <c r="K98" s="78">
        <f t="shared" si="50"/>
        <v>450000000</v>
      </c>
      <c r="L98" s="78">
        <f t="shared" si="51"/>
        <v>225000000</v>
      </c>
      <c r="M98" s="78">
        <f>(L98/H98)*20%</f>
        <v>22500000</v>
      </c>
      <c r="N98" s="7">
        <f>M98*H98</f>
        <v>45000000</v>
      </c>
      <c r="O98" s="7"/>
      <c r="P98" s="7">
        <f t="shared" si="48"/>
        <v>45000000</v>
      </c>
      <c r="Q98" s="4"/>
      <c r="R98" s="7"/>
      <c r="S98" s="4"/>
      <c r="T98" s="4"/>
      <c r="U98" s="4"/>
      <c r="V98" s="4"/>
      <c r="W98" s="4"/>
      <c r="X98" s="4"/>
      <c r="Y98" s="7">
        <v>0</v>
      </c>
      <c r="Z98" s="7">
        <v>0</v>
      </c>
      <c r="AA98" s="7">
        <v>0</v>
      </c>
      <c r="AB98" s="7">
        <f t="shared" si="49"/>
        <v>59200000</v>
      </c>
      <c r="AC98" s="7"/>
      <c r="AD98" s="16"/>
      <c r="AE98" s="221"/>
      <c r="AF98" s="185"/>
      <c r="AG98" s="27"/>
      <c r="AH98" s="27"/>
      <c r="AI98" s="4"/>
      <c r="AJ98" s="4" t="s">
        <v>171</v>
      </c>
      <c r="AK98" s="82"/>
      <c r="AL98" s="2"/>
      <c r="AM98" s="2"/>
    </row>
    <row r="99" spans="1:39" ht="14.25" customHeight="1" x14ac:dyDescent="0.25">
      <c r="A99" s="31"/>
      <c r="B99" s="16">
        <v>46051</v>
      </c>
      <c r="C99" s="179">
        <v>5201005552</v>
      </c>
      <c r="D99" s="4" t="s">
        <v>65</v>
      </c>
      <c r="E99" s="179"/>
      <c r="F99" s="179"/>
      <c r="G99" s="4" t="s">
        <v>193</v>
      </c>
      <c r="H99" s="78">
        <v>16</v>
      </c>
      <c r="I99" s="78"/>
      <c r="J99" s="78">
        <v>37000000</v>
      </c>
      <c r="K99" s="78">
        <f t="shared" si="50"/>
        <v>592000000</v>
      </c>
      <c r="L99" s="78">
        <f t="shared" si="51"/>
        <v>296000000</v>
      </c>
      <c r="M99" s="78">
        <f>(L99/H99)*20%</f>
        <v>3700000</v>
      </c>
      <c r="N99" s="7">
        <f>L99*20%</f>
        <v>59200000</v>
      </c>
      <c r="O99" s="7"/>
      <c r="P99" s="7">
        <f t="shared" si="48"/>
        <v>59200000</v>
      </c>
      <c r="Q99" s="4"/>
      <c r="R99" s="7"/>
      <c r="S99" s="4"/>
      <c r="T99" s="4"/>
      <c r="U99" s="4"/>
      <c r="V99" s="4"/>
      <c r="W99" s="4"/>
      <c r="X99" s="4"/>
      <c r="Y99" s="7">
        <v>0</v>
      </c>
      <c r="Z99" s="7">
        <v>0</v>
      </c>
      <c r="AA99" s="7">
        <v>0</v>
      </c>
      <c r="AB99" s="7">
        <f t="shared" si="49"/>
        <v>59200000</v>
      </c>
      <c r="AC99" s="7"/>
      <c r="AD99" s="16"/>
      <c r="AE99" s="221"/>
      <c r="AF99" s="185"/>
      <c r="AG99" s="27"/>
      <c r="AH99" s="27"/>
      <c r="AI99" s="4"/>
      <c r="AJ99" s="4" t="s">
        <v>171</v>
      </c>
      <c r="AK99" s="82"/>
      <c r="AL99" s="2"/>
      <c r="AM99" s="2"/>
    </row>
    <row r="100" spans="1:39" x14ac:dyDescent="0.25">
      <c r="H100" s="78">
        <v>16</v>
      </c>
      <c r="I100" s="78"/>
      <c r="J100" s="78">
        <v>37000000</v>
      </c>
      <c r="K100" s="78">
        <f t="shared" si="50"/>
        <v>592000000</v>
      </c>
      <c r="L100" s="78">
        <f t="shared" si="51"/>
        <v>296000000</v>
      </c>
      <c r="M100" s="78">
        <f>(L100/H100)*20%</f>
        <v>3700000</v>
      </c>
      <c r="N100" s="7">
        <f>L100*20%</f>
        <v>59200000</v>
      </c>
    </row>
  </sheetData>
  <autoFilter ref="A10:AJ45" xr:uid="{0584D897-46E4-45A3-9B3F-2C2CF2DE4EE4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35">
    <mergeCell ref="AL10:AL11"/>
    <mergeCell ref="AM10:AM11"/>
    <mergeCell ref="A31:A32"/>
    <mergeCell ref="B31:B32"/>
    <mergeCell ref="C31:C32"/>
    <mergeCell ref="AF10:AF11"/>
    <mergeCell ref="AG10:AG11"/>
    <mergeCell ref="AH10:AH11"/>
    <mergeCell ref="AI10:AI11"/>
    <mergeCell ref="AJ10:AJ11"/>
    <mergeCell ref="AK10:AK11"/>
    <mergeCell ref="Z10:Z11"/>
    <mergeCell ref="AA10:AA11"/>
    <mergeCell ref="AB10:AB11"/>
    <mergeCell ref="AC10:AC11"/>
    <mergeCell ref="AD10:AD11"/>
    <mergeCell ref="AE10:AE11"/>
    <mergeCell ref="M10:M11"/>
    <mergeCell ref="N10:N11"/>
    <mergeCell ref="O10:O11"/>
    <mergeCell ref="P10:P11"/>
    <mergeCell ref="Q10:W10"/>
    <mergeCell ref="Y10:Y11"/>
    <mergeCell ref="L10:L11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9C5C-B9B4-4F70-8F72-183B165CE59E}">
  <sheetPr>
    <tabColor rgb="FF00B050"/>
  </sheetPr>
  <dimension ref="A1:AP89"/>
  <sheetViews>
    <sheetView showGridLines="0" topLeftCell="A10" zoomScale="85" zoomScaleNormal="85" workbookViewId="0">
      <pane xSplit="8" ySplit="2" topLeftCell="I54" activePane="bottomRight" state="frozen"/>
      <selection activeCell="A10" sqref="A10"/>
      <selection pane="topRight" activeCell="H10" sqref="H10"/>
      <selection pane="bottomLeft" activeCell="A12" sqref="A12"/>
      <selection pane="bottomRight" activeCell="D52" sqref="D52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4" width="15.28515625" style="29" bestFit="1" customWidth="1"/>
    <col min="5" max="5" width="16.140625" style="29" customWidth="1"/>
    <col min="6" max="6" width="16.140625" style="29" hidden="1" customWidth="1"/>
    <col min="7" max="7" width="38.140625" bestFit="1" customWidth="1"/>
    <col min="8" max="8" width="9.85546875" customWidth="1"/>
    <col min="9" max="9" width="27.7109375" bestFit="1" customWidth="1"/>
    <col min="10" max="10" width="22.85546875" customWidth="1"/>
    <col min="11" max="11" width="22.85546875" bestFit="1" customWidth="1"/>
    <col min="12" max="13" width="24.85546875" bestFit="1" customWidth="1"/>
    <col min="14" max="14" width="26.7109375" customWidth="1"/>
    <col min="15" max="15" width="21.140625" bestFit="1" customWidth="1"/>
    <col min="16" max="16" width="20.7109375" bestFit="1" customWidth="1"/>
    <col min="17" max="17" width="3.7109375" customWidth="1" outlineLevel="1"/>
    <col min="18" max="18" width="4.5703125" customWidth="1" outlineLevel="1"/>
    <col min="19" max="19" width="14.28515625" customWidth="1" outlineLevel="1"/>
    <col min="20" max="20" width="4" customWidth="1" outlineLevel="1"/>
    <col min="21" max="21" width="4.5703125" customWidth="1" outlineLevel="1"/>
    <col min="22" max="22" width="5.5703125" customWidth="1" outlineLevel="1"/>
    <col min="23" max="23" width="4.5703125" customWidth="1" outlineLevel="1"/>
    <col min="24" max="24" width="29.85546875" customWidth="1" outlineLevel="1"/>
    <col min="25" max="25" width="13.85546875" bestFit="1" customWidth="1"/>
    <col min="26" max="26" width="13.42578125" customWidth="1"/>
    <col min="27" max="27" width="21.140625" bestFit="1" customWidth="1"/>
    <col min="28" max="28" width="19.140625" bestFit="1" customWidth="1"/>
    <col min="29" max="29" width="19.140625" customWidth="1"/>
    <col min="30" max="30" width="12.42578125" customWidth="1"/>
    <col min="31" max="31" width="11.85546875" customWidth="1"/>
    <col min="32" max="34" width="14.42578125" customWidth="1"/>
    <col min="35" max="35" width="16.7109375" hidden="1" customWidth="1"/>
    <col min="36" max="36" width="24.85546875" bestFit="1" customWidth="1"/>
    <col min="37" max="38" width="12.5703125" hidden="1" customWidth="1"/>
    <col min="39" max="39" width="11.5703125" hidden="1" customWidth="1"/>
    <col min="42" max="42" width="11.5703125" bestFit="1" customWidth="1"/>
  </cols>
  <sheetData>
    <row r="1" spans="1:39" ht="15.75" x14ac:dyDescent="0.25">
      <c r="C1" s="47" t="s">
        <v>33</v>
      </c>
      <c r="D1" s="47"/>
      <c r="E1" s="47"/>
      <c r="F1" s="47"/>
    </row>
    <row r="2" spans="1:39" ht="9.75" customHeight="1" x14ac:dyDescent="0.25">
      <c r="C2" s="28"/>
      <c r="D2" s="28"/>
      <c r="E2" s="28"/>
      <c r="F2" s="28"/>
    </row>
    <row r="3" spans="1:39" x14ac:dyDescent="0.25">
      <c r="C3" s="45"/>
      <c r="D3" s="249"/>
      <c r="E3" s="249"/>
      <c r="F3" s="249"/>
    </row>
    <row r="4" spans="1:39" x14ac:dyDescent="0.25">
      <c r="C4" s="46"/>
      <c r="D4" s="250"/>
      <c r="E4" s="250"/>
      <c r="F4" s="250"/>
    </row>
    <row r="5" spans="1:39" x14ac:dyDescent="0.25">
      <c r="C5" s="43"/>
      <c r="D5" s="251"/>
      <c r="E5" s="251"/>
      <c r="F5" s="251"/>
    </row>
    <row r="6" spans="1:39" x14ac:dyDescent="0.25">
      <c r="C6" s="44"/>
      <c r="D6" s="28"/>
      <c r="E6" s="28"/>
      <c r="F6" s="28"/>
    </row>
    <row r="7" spans="1:39" x14ac:dyDescent="0.25">
      <c r="C7" s="122"/>
      <c r="D7" s="126"/>
      <c r="E7" s="126"/>
      <c r="F7" s="126"/>
      <c r="H7">
        <f>Detail!E2</f>
        <v>4</v>
      </c>
      <c r="J7">
        <f>Detail!F2</f>
        <v>5</v>
      </c>
      <c r="K7">
        <f>Detail!G2</f>
        <v>6</v>
      </c>
      <c r="L7">
        <f>Detail!H2</f>
        <v>7</v>
      </c>
      <c r="N7">
        <f>Detail!I2</f>
        <v>8</v>
      </c>
    </row>
    <row r="8" spans="1:39" x14ac:dyDescent="0.25">
      <c r="C8" s="149"/>
      <c r="D8" s="252"/>
      <c r="E8" s="252"/>
      <c r="F8" s="252"/>
    </row>
    <row r="10" spans="1:39" ht="15" customHeight="1" x14ac:dyDescent="0.25">
      <c r="A10" s="321" t="s">
        <v>78</v>
      </c>
      <c r="B10" s="320" t="s">
        <v>22</v>
      </c>
      <c r="C10" s="321" t="s">
        <v>1</v>
      </c>
      <c r="D10" s="325" t="s">
        <v>62</v>
      </c>
      <c r="E10" s="325" t="s">
        <v>201</v>
      </c>
      <c r="F10" s="325" t="s">
        <v>205</v>
      </c>
      <c r="G10" s="322" t="s">
        <v>55</v>
      </c>
      <c r="H10" s="320" t="str">
        <f>Detail!E3</f>
        <v>Qty</v>
      </c>
      <c r="I10" s="324" t="s">
        <v>59</v>
      </c>
      <c r="J10" s="320" t="str">
        <f>Detail!F3</f>
        <v>Harga</v>
      </c>
      <c r="K10" s="320" t="s">
        <v>29</v>
      </c>
      <c r="L10" s="320" t="s">
        <v>7</v>
      </c>
      <c r="M10" s="320" t="s">
        <v>28</v>
      </c>
      <c r="N10" s="320" t="str">
        <f>Detail!I3</f>
        <v>Margin</v>
      </c>
      <c r="O10" s="320" t="s">
        <v>19</v>
      </c>
      <c r="P10" s="324" t="s">
        <v>67</v>
      </c>
      <c r="Q10" s="336" t="s">
        <v>23</v>
      </c>
      <c r="R10" s="337"/>
      <c r="S10" s="337"/>
      <c r="T10" s="337"/>
      <c r="U10" s="337"/>
      <c r="V10" s="337"/>
      <c r="W10" s="338"/>
      <c r="X10" s="25"/>
      <c r="Y10" s="328" t="s">
        <v>52</v>
      </c>
      <c r="Z10" s="328" t="s">
        <v>34</v>
      </c>
      <c r="AA10" s="331" t="s">
        <v>8</v>
      </c>
      <c r="AB10" s="328" t="s">
        <v>198</v>
      </c>
      <c r="AC10" s="328" t="s">
        <v>197</v>
      </c>
      <c r="AD10" s="333" t="s">
        <v>54</v>
      </c>
      <c r="AE10" s="331" t="s">
        <v>53</v>
      </c>
      <c r="AF10" s="333" t="s">
        <v>159</v>
      </c>
      <c r="AG10" s="333" t="s">
        <v>182</v>
      </c>
      <c r="AH10" s="333" t="s">
        <v>169</v>
      </c>
      <c r="AI10" s="325" t="s">
        <v>62</v>
      </c>
      <c r="AJ10" s="325" t="s">
        <v>66</v>
      </c>
      <c r="AK10" s="320" t="s">
        <v>109</v>
      </c>
      <c r="AL10" s="335" t="s">
        <v>127</v>
      </c>
      <c r="AM10" s="320" t="s">
        <v>110</v>
      </c>
    </row>
    <row r="11" spans="1:39" ht="29.25" customHeight="1" x14ac:dyDescent="0.25">
      <c r="A11" s="321"/>
      <c r="B11" s="320"/>
      <c r="C11" s="321"/>
      <c r="D11" s="325"/>
      <c r="E11" s="325"/>
      <c r="F11" s="325"/>
      <c r="G11" s="323"/>
      <c r="H11" s="320"/>
      <c r="I11" s="323"/>
      <c r="J11" s="320"/>
      <c r="K11" s="320"/>
      <c r="L11" s="320"/>
      <c r="M11" s="320"/>
      <c r="N11" s="320"/>
      <c r="O11" s="320"/>
      <c r="P11" s="326"/>
      <c r="Q11" s="3" t="s">
        <v>20</v>
      </c>
      <c r="R11" s="3" t="s">
        <v>21</v>
      </c>
      <c r="S11" s="3" t="s">
        <v>24</v>
      </c>
      <c r="T11" s="3" t="s">
        <v>25</v>
      </c>
      <c r="U11" s="3" t="s">
        <v>26</v>
      </c>
      <c r="V11" s="3" t="s">
        <v>27</v>
      </c>
      <c r="W11" s="3" t="s">
        <v>158</v>
      </c>
      <c r="X11" s="26" t="s">
        <v>57</v>
      </c>
      <c r="Y11" s="329"/>
      <c r="Z11" s="330"/>
      <c r="AA11" s="332"/>
      <c r="AB11" s="330"/>
      <c r="AC11" s="330"/>
      <c r="AD11" s="334"/>
      <c r="AE11" s="332"/>
      <c r="AF11" s="334"/>
      <c r="AG11" s="334"/>
      <c r="AH11" s="334"/>
      <c r="AI11" s="325"/>
      <c r="AJ11" s="325" t="s">
        <v>66</v>
      </c>
      <c r="AK11" s="320"/>
      <c r="AL11" s="335"/>
      <c r="AM11" s="320"/>
    </row>
    <row r="12" spans="1:39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P12-AB12</f>
        <v>45000000</v>
      </c>
      <c r="F12" s="56">
        <f>L12-AC12</f>
        <v>225000000</v>
      </c>
      <c r="G12" s="53" t="s">
        <v>3</v>
      </c>
      <c r="H12" s="55">
        <f>SUMIF(Detail!$B$4:$B$21,'Summary V.4 (5)'!$C12,Detail!$E$4:$E$21)</f>
        <v>2</v>
      </c>
      <c r="I12" s="55"/>
      <c r="J12" s="55">
        <f>VLOOKUP($C12,Detail!$B$4:$Q$21,5,0)</f>
        <v>225000000</v>
      </c>
      <c r="K12" s="55">
        <f t="shared" ref="K12:K29" si="0">H12*J12</f>
        <v>450000000</v>
      </c>
      <c r="L12" s="55">
        <f>SUMIF(Detail!$B$4:$B$21,'Summary V.4 (5)'!C12,Detail!$H$4:$H$21)</f>
        <v>225000000</v>
      </c>
      <c r="M12" s="55">
        <f t="shared" ref="M12:M20" si="1">(L12*20%)/H12</f>
        <v>22500000</v>
      </c>
      <c r="N12" s="56">
        <f t="shared" ref="N12:N20" si="2">L12*20%</f>
        <v>45000000</v>
      </c>
      <c r="O12" s="56"/>
      <c r="P12" s="56">
        <f>SUM(N12:O12)</f>
        <v>45000000</v>
      </c>
      <c r="Q12" s="56">
        <f>H12</f>
        <v>2</v>
      </c>
      <c r="R12" s="53"/>
      <c r="S12" s="53"/>
      <c r="T12" s="53"/>
      <c r="U12" s="53"/>
      <c r="V12" s="53"/>
      <c r="W12" s="53"/>
      <c r="X12" s="53"/>
      <c r="Y12" s="56">
        <f t="shared" ref="Y12:Y43" si="3">SUM(Q12:V12)</f>
        <v>2</v>
      </c>
      <c r="Z12" s="56">
        <f t="shared" ref="Z12:Z27" si="4">H12-Y12</f>
        <v>0</v>
      </c>
      <c r="AA12" s="55">
        <f t="shared" ref="AA12:AA26" si="5">M12*Y12</f>
        <v>45000000</v>
      </c>
      <c r="AB12" s="56">
        <f t="shared" ref="AB12:AB26" si="6">N12-AA12</f>
        <v>0</v>
      </c>
      <c r="AC12" s="56"/>
      <c r="AD12" s="60">
        <v>45861</v>
      </c>
      <c r="AE12" s="60">
        <v>45863</v>
      </c>
      <c r="AF12" s="58">
        <v>45894</v>
      </c>
      <c r="AG12" s="58"/>
      <c r="AH12" s="58"/>
      <c r="AI12" s="53" t="s">
        <v>63</v>
      </c>
      <c r="AJ12" s="53"/>
      <c r="AK12" s="183">
        <f>VLOOKUP(C12,investasi!$B$5:$G$18,6,0)</f>
        <v>45000000</v>
      </c>
      <c r="AL12" s="184">
        <f t="shared" ref="AL12:AL27" si="7">P12</f>
        <v>45000000</v>
      </c>
      <c r="AM12" s="184">
        <f>AK12-AL12</f>
        <v>0</v>
      </c>
    </row>
    <row r="13" spans="1:39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44" si="8">P13-AB13</f>
        <v>67500000</v>
      </c>
      <c r="F13" s="56">
        <f t="shared" ref="F13:F44" si="9">L13-AC13</f>
        <v>337500000</v>
      </c>
      <c r="G13" s="53" t="s">
        <v>3</v>
      </c>
      <c r="H13" s="55">
        <f>SUMIF(Detail!$B$4:$B$21,'Summary V.4 (5)'!$C13,Detail!$E$4:$E$21)</f>
        <v>3</v>
      </c>
      <c r="I13" s="55"/>
      <c r="J13" s="55">
        <f>VLOOKUP($C13,Detail!$B$4:$Q$21,5,0)</f>
        <v>225000000</v>
      </c>
      <c r="K13" s="55">
        <f t="shared" si="0"/>
        <v>675000000</v>
      </c>
      <c r="L13" s="55">
        <f>SUMIF(Detail!$B$4:$B$21,'Summary V.4 (5)'!C13,Detail!$H$4:$H$21)</f>
        <v>337500000</v>
      </c>
      <c r="M13" s="55">
        <f t="shared" si="1"/>
        <v>22500000</v>
      </c>
      <c r="N13" s="56">
        <f t="shared" si="2"/>
        <v>67500000</v>
      </c>
      <c r="O13" s="56"/>
      <c r="P13" s="56">
        <f t="shared" ref="P13:P18" si="10">SUM(N13:O13)</f>
        <v>67500000</v>
      </c>
      <c r="Q13" s="56">
        <f>H13</f>
        <v>3</v>
      </c>
      <c r="R13" s="53"/>
      <c r="S13" s="53"/>
      <c r="T13" s="53"/>
      <c r="U13" s="53"/>
      <c r="V13" s="53"/>
      <c r="W13" s="53"/>
      <c r="X13" s="53"/>
      <c r="Y13" s="56">
        <f t="shared" si="3"/>
        <v>3</v>
      </c>
      <c r="Z13" s="56">
        <f t="shared" si="4"/>
        <v>0</v>
      </c>
      <c r="AA13" s="55">
        <f t="shared" si="5"/>
        <v>67500000</v>
      </c>
      <c r="AB13" s="56">
        <f t="shared" si="6"/>
        <v>0</v>
      </c>
      <c r="AC13" s="56"/>
      <c r="AD13" s="60">
        <v>45861</v>
      </c>
      <c r="AE13" s="60">
        <v>45863</v>
      </c>
      <c r="AF13" s="58">
        <v>45894</v>
      </c>
      <c r="AG13" s="58"/>
      <c r="AH13" s="58"/>
      <c r="AI13" s="53" t="s">
        <v>63</v>
      </c>
      <c r="AJ13" s="53"/>
      <c r="AK13" s="183">
        <f>VLOOKUP(C13,investasi!$B$5:$G$18,6,0)</f>
        <v>67500000</v>
      </c>
      <c r="AL13" s="184">
        <f t="shared" si="7"/>
        <v>67500000</v>
      </c>
      <c r="AM13" s="184">
        <f t="shared" ref="AM13:AM29" si="11">AK13-AL13</f>
        <v>0</v>
      </c>
    </row>
    <row r="14" spans="1:39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67500000</v>
      </c>
      <c r="F14" s="56">
        <f t="shared" si="9"/>
        <v>337500000</v>
      </c>
      <c r="G14" s="53" t="s">
        <v>3</v>
      </c>
      <c r="H14" s="55">
        <f>SUMIF(Detail!$B$4:$B$21,'Summary V.4 (5)'!$C14,Detail!$E$4:$E$21)</f>
        <v>3</v>
      </c>
      <c r="I14" s="55"/>
      <c r="J14" s="55">
        <f>VLOOKUP($C14,Detail!$B$4:$Q$21,5,0)</f>
        <v>225000000</v>
      </c>
      <c r="K14" s="55">
        <f t="shared" si="0"/>
        <v>675000000</v>
      </c>
      <c r="L14" s="55">
        <f>SUMIF(Detail!$B$4:$B$21,'Summary V.4 (5)'!C14,Detail!$H$4:$H$21)</f>
        <v>337500000</v>
      </c>
      <c r="M14" s="55">
        <f t="shared" si="1"/>
        <v>22500000</v>
      </c>
      <c r="N14" s="56">
        <f t="shared" si="2"/>
        <v>67500000</v>
      </c>
      <c r="O14" s="56"/>
      <c r="P14" s="56">
        <f t="shared" si="10"/>
        <v>67500000</v>
      </c>
      <c r="Q14" s="56">
        <f>H14</f>
        <v>3</v>
      </c>
      <c r="R14" s="53"/>
      <c r="S14" s="53"/>
      <c r="T14" s="53"/>
      <c r="U14" s="53"/>
      <c r="V14" s="53"/>
      <c r="W14" s="53"/>
      <c r="X14" s="53"/>
      <c r="Y14" s="56">
        <f t="shared" si="3"/>
        <v>3</v>
      </c>
      <c r="Z14" s="56">
        <f t="shared" si="4"/>
        <v>0</v>
      </c>
      <c r="AA14" s="55">
        <f t="shared" si="5"/>
        <v>67500000</v>
      </c>
      <c r="AB14" s="56">
        <f t="shared" si="6"/>
        <v>0</v>
      </c>
      <c r="AC14" s="56"/>
      <c r="AD14" s="60">
        <v>45861</v>
      </c>
      <c r="AE14" s="60">
        <v>45863</v>
      </c>
      <c r="AF14" s="58">
        <v>45894</v>
      </c>
      <c r="AG14" s="58"/>
      <c r="AH14" s="58"/>
      <c r="AI14" s="53" t="s">
        <v>63</v>
      </c>
      <c r="AJ14" s="53"/>
      <c r="AK14" s="183">
        <f>VLOOKUP(C14,investasi!$B$5:$G$18,6,0)</f>
        <v>67500000</v>
      </c>
      <c r="AL14" s="184">
        <f t="shared" si="7"/>
        <v>67500000</v>
      </c>
      <c r="AM14" s="184">
        <f t="shared" si="11"/>
        <v>0</v>
      </c>
    </row>
    <row r="15" spans="1:39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67500000</v>
      </c>
      <c r="F15" s="56">
        <f t="shared" si="9"/>
        <v>337500000</v>
      </c>
      <c r="G15" s="53" t="s">
        <v>3</v>
      </c>
      <c r="H15" s="55">
        <f>SUMIF(Detail!$B$4:$B$21,'Summary V.4 (5)'!$C15,Detail!$E$4:$E$21)</f>
        <v>3</v>
      </c>
      <c r="I15" s="55"/>
      <c r="J15" s="55">
        <f>VLOOKUP($C15,Detail!$B$4:$Q$21,5,0)</f>
        <v>225000000</v>
      </c>
      <c r="K15" s="55">
        <f t="shared" si="0"/>
        <v>675000000</v>
      </c>
      <c r="L15" s="55">
        <f>SUMIF(Detail!$B$4:$B$21,'Summary V.4 (5)'!C15,Detail!$H$4:$H$21)</f>
        <v>337500000</v>
      </c>
      <c r="M15" s="55">
        <f t="shared" si="1"/>
        <v>22500000</v>
      </c>
      <c r="N15" s="56">
        <f t="shared" si="2"/>
        <v>67500000</v>
      </c>
      <c r="O15" s="56"/>
      <c r="P15" s="56">
        <f t="shared" si="10"/>
        <v>67500000</v>
      </c>
      <c r="Q15" s="53"/>
      <c r="R15" s="56">
        <f>H15</f>
        <v>3</v>
      </c>
      <c r="S15" s="53"/>
      <c r="T15" s="53"/>
      <c r="U15" s="53"/>
      <c r="V15" s="53"/>
      <c r="W15" s="53"/>
      <c r="X15" s="53"/>
      <c r="Y15" s="56">
        <f t="shared" si="3"/>
        <v>3</v>
      </c>
      <c r="Z15" s="56">
        <f t="shared" si="4"/>
        <v>0</v>
      </c>
      <c r="AA15" s="55">
        <f t="shared" si="5"/>
        <v>67500000</v>
      </c>
      <c r="AB15" s="56">
        <f t="shared" si="6"/>
        <v>0</v>
      </c>
      <c r="AC15" s="56"/>
      <c r="AD15" s="60">
        <v>45868</v>
      </c>
      <c r="AE15" s="60">
        <v>45873</v>
      </c>
      <c r="AF15" s="58">
        <v>45904</v>
      </c>
      <c r="AG15" s="58"/>
      <c r="AH15" s="58"/>
      <c r="AI15" s="53" t="s">
        <v>63</v>
      </c>
      <c r="AJ15" s="53"/>
      <c r="AK15" s="183">
        <f>VLOOKUP(C15,investasi!$B$5:$G$18,6,0)</f>
        <v>67500000</v>
      </c>
      <c r="AL15" s="184">
        <f t="shared" si="7"/>
        <v>67500000</v>
      </c>
      <c r="AM15" s="184">
        <f t="shared" si="11"/>
        <v>0</v>
      </c>
    </row>
    <row r="16" spans="1:39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67500000</v>
      </c>
      <c r="F16" s="56">
        <f t="shared" si="9"/>
        <v>337500000</v>
      </c>
      <c r="G16" s="53" t="s">
        <v>3</v>
      </c>
      <c r="H16" s="55">
        <f>SUMIF(Detail!$B$4:$B$21,'Summary V.4 (5)'!$C16,Detail!$E$4:$E$21)</f>
        <v>3</v>
      </c>
      <c r="I16" s="55"/>
      <c r="J16" s="55">
        <f>VLOOKUP($C16,Detail!$B$4:$Q$21,5,0)</f>
        <v>225000000</v>
      </c>
      <c r="K16" s="55">
        <f t="shared" si="0"/>
        <v>675000000</v>
      </c>
      <c r="L16" s="55">
        <f>SUMIF(Detail!$B$4:$B$21,'Summary V.4 (5)'!C16,Detail!$H$4:$H$21)</f>
        <v>337500000</v>
      </c>
      <c r="M16" s="55">
        <f t="shared" si="1"/>
        <v>22500000</v>
      </c>
      <c r="N16" s="56">
        <f t="shared" si="2"/>
        <v>67500000</v>
      </c>
      <c r="O16" s="56"/>
      <c r="P16" s="56">
        <f t="shared" si="10"/>
        <v>67500000</v>
      </c>
      <c r="Q16" s="53"/>
      <c r="R16" s="56">
        <f>H16</f>
        <v>3</v>
      </c>
      <c r="S16" s="53"/>
      <c r="T16" s="53"/>
      <c r="U16" s="53"/>
      <c r="V16" s="53"/>
      <c r="W16" s="53"/>
      <c r="X16" s="53"/>
      <c r="Y16" s="56">
        <f t="shared" si="3"/>
        <v>3</v>
      </c>
      <c r="Z16" s="56">
        <f t="shared" si="4"/>
        <v>0</v>
      </c>
      <c r="AA16" s="55">
        <f t="shared" si="5"/>
        <v>67500000</v>
      </c>
      <c r="AB16" s="56">
        <f t="shared" si="6"/>
        <v>0</v>
      </c>
      <c r="AC16" s="56"/>
      <c r="AD16" s="60">
        <v>45868</v>
      </c>
      <c r="AE16" s="60">
        <v>45873</v>
      </c>
      <c r="AF16" s="58">
        <v>45904</v>
      </c>
      <c r="AG16" s="58"/>
      <c r="AH16" s="58"/>
      <c r="AI16" s="53" t="s">
        <v>63</v>
      </c>
      <c r="AJ16" s="53"/>
      <c r="AK16" s="183">
        <f>VLOOKUP(C16,investasi!$B$5:$G$18,6,0)</f>
        <v>67500000</v>
      </c>
      <c r="AL16" s="184">
        <f t="shared" si="7"/>
        <v>67500000</v>
      </c>
      <c r="AM16" s="184">
        <f t="shared" si="11"/>
        <v>0</v>
      </c>
    </row>
    <row r="17" spans="1:42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45000000</v>
      </c>
      <c r="F17" s="56">
        <f t="shared" si="9"/>
        <v>225000000</v>
      </c>
      <c r="G17" s="53" t="s">
        <v>3</v>
      </c>
      <c r="H17" s="55">
        <f>SUMIF(Detail!$B$4:$B$21,'Summary V.4 (5)'!$C17,Detail!$E$4:$E$21)</f>
        <v>2</v>
      </c>
      <c r="I17" s="55"/>
      <c r="J17" s="55">
        <f>VLOOKUP($C17,Detail!$B$4:$Q$21,5,0)</f>
        <v>225000000</v>
      </c>
      <c r="K17" s="55">
        <f t="shared" si="0"/>
        <v>450000000</v>
      </c>
      <c r="L17" s="55">
        <f>SUMIF(Detail!$B$4:$B$21,'Summary V.4 (5)'!C17,Detail!$H$4:$H$21)</f>
        <v>225000000</v>
      </c>
      <c r="M17" s="55">
        <f t="shared" si="1"/>
        <v>22500000</v>
      </c>
      <c r="N17" s="56">
        <f t="shared" si="2"/>
        <v>45000000</v>
      </c>
      <c r="O17" s="56"/>
      <c r="P17" s="56">
        <f t="shared" si="10"/>
        <v>45000000</v>
      </c>
      <c r="Q17" s="53"/>
      <c r="R17" s="56">
        <f>H17</f>
        <v>2</v>
      </c>
      <c r="S17" s="53"/>
      <c r="T17" s="53"/>
      <c r="U17" s="53"/>
      <c r="V17" s="53"/>
      <c r="W17" s="53"/>
      <c r="X17" s="53"/>
      <c r="Y17" s="56">
        <f t="shared" si="3"/>
        <v>2</v>
      </c>
      <c r="Z17" s="56">
        <f t="shared" si="4"/>
        <v>0</v>
      </c>
      <c r="AA17" s="55">
        <f t="shared" si="5"/>
        <v>45000000</v>
      </c>
      <c r="AB17" s="56">
        <f t="shared" si="6"/>
        <v>0</v>
      </c>
      <c r="AC17" s="56"/>
      <c r="AD17" s="60">
        <v>45868</v>
      </c>
      <c r="AE17" s="60">
        <v>45873</v>
      </c>
      <c r="AF17" s="58">
        <v>45904</v>
      </c>
      <c r="AG17" s="58"/>
      <c r="AH17" s="58"/>
      <c r="AI17" s="53" t="s">
        <v>63</v>
      </c>
      <c r="AJ17" s="53"/>
      <c r="AK17" s="183">
        <f>VLOOKUP(C17,investasi!$B$5:$G$18,6,0)</f>
        <v>45000000</v>
      </c>
      <c r="AL17" s="184">
        <f t="shared" si="7"/>
        <v>45000000</v>
      </c>
      <c r="AM17" s="184">
        <f t="shared" si="11"/>
        <v>0</v>
      </c>
    </row>
    <row r="18" spans="1:42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45000000</v>
      </c>
      <c r="F18" s="56">
        <f t="shared" si="9"/>
        <v>225000000</v>
      </c>
      <c r="G18" s="53" t="s">
        <v>3</v>
      </c>
      <c r="H18" s="55">
        <f>SUMIF(Detail!$B$4:$B$21,'Summary V.4 (5)'!$C18,Detail!$E$4:$E$21)</f>
        <v>2</v>
      </c>
      <c r="I18" s="55"/>
      <c r="J18" s="55">
        <f>VLOOKUP($C18,Detail!$B$4:$Q$21,5,0)</f>
        <v>225000000</v>
      </c>
      <c r="K18" s="55">
        <f t="shared" si="0"/>
        <v>450000000</v>
      </c>
      <c r="L18" s="55">
        <f>SUMIF(Detail!$B$4:$B$21,'Summary V.4 (5)'!C18,Detail!$H$4:$H$21)</f>
        <v>225000000</v>
      </c>
      <c r="M18" s="55">
        <f t="shared" si="1"/>
        <v>22500000</v>
      </c>
      <c r="N18" s="56">
        <f t="shared" si="2"/>
        <v>45000000</v>
      </c>
      <c r="O18" s="56"/>
      <c r="P18" s="56">
        <f t="shared" si="10"/>
        <v>45000000</v>
      </c>
      <c r="Q18" s="53"/>
      <c r="R18" s="56">
        <f>H18</f>
        <v>2</v>
      </c>
      <c r="S18" s="53"/>
      <c r="T18" s="53"/>
      <c r="U18" s="53"/>
      <c r="V18" s="53"/>
      <c r="W18" s="53"/>
      <c r="X18" s="53"/>
      <c r="Y18" s="56">
        <f t="shared" si="3"/>
        <v>2</v>
      </c>
      <c r="Z18" s="56">
        <f t="shared" si="4"/>
        <v>0</v>
      </c>
      <c r="AA18" s="55">
        <f t="shared" si="5"/>
        <v>45000000</v>
      </c>
      <c r="AB18" s="56">
        <f t="shared" si="6"/>
        <v>0</v>
      </c>
      <c r="AC18" s="56"/>
      <c r="AD18" s="60">
        <v>45868</v>
      </c>
      <c r="AE18" s="60">
        <v>45873</v>
      </c>
      <c r="AF18" s="58">
        <v>45904</v>
      </c>
      <c r="AG18" s="58"/>
      <c r="AH18" s="58"/>
      <c r="AI18" s="53" t="s">
        <v>63</v>
      </c>
      <c r="AJ18" s="53"/>
      <c r="AK18" s="183">
        <f>VLOOKUP(C18,investasi!$B$5:$G$18,6,0)</f>
        <v>45000000</v>
      </c>
      <c r="AL18" s="184">
        <f t="shared" si="7"/>
        <v>45000000</v>
      </c>
      <c r="AM18" s="184">
        <f t="shared" si="11"/>
        <v>0</v>
      </c>
    </row>
    <row r="19" spans="1:42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114919900</v>
      </c>
      <c r="F19" s="56">
        <f t="shared" si="9"/>
        <v>574599500</v>
      </c>
      <c r="G19" s="53" t="s">
        <v>44</v>
      </c>
      <c r="H19" s="55">
        <f>SUMIF(Detail!$B$4:$B$25,'Summary V.4 (5)'!$C19,Detail!$E$4:$E$25)</f>
        <v>1</v>
      </c>
      <c r="I19" s="55"/>
      <c r="J19" s="55">
        <f>VLOOKUP($C19,Detail!$B$4:$Q$25,5,0)</f>
        <v>1149199000</v>
      </c>
      <c r="K19" s="55">
        <f t="shared" si="0"/>
        <v>1149199000</v>
      </c>
      <c r="L19" s="55">
        <f>SUMIF(Detail!$B$4:$B$25,'Summary V.4 (5)'!C19,Detail!$H$4:$H$25)</f>
        <v>574599500</v>
      </c>
      <c r="M19" s="55">
        <f t="shared" si="1"/>
        <v>114919900</v>
      </c>
      <c r="N19" s="56">
        <f t="shared" si="2"/>
        <v>114919900</v>
      </c>
      <c r="O19" s="56"/>
      <c r="P19" s="56">
        <f>SUM(N19:O19)</f>
        <v>114919900</v>
      </c>
      <c r="Q19" s="53"/>
      <c r="R19" s="56">
        <v>0</v>
      </c>
      <c r="S19" s="53">
        <v>1</v>
      </c>
      <c r="T19" s="53"/>
      <c r="U19" s="53"/>
      <c r="V19" s="53"/>
      <c r="W19" s="53"/>
      <c r="X19" s="53"/>
      <c r="Y19" s="56">
        <f t="shared" si="3"/>
        <v>1</v>
      </c>
      <c r="Z19" s="56">
        <f t="shared" si="4"/>
        <v>0</v>
      </c>
      <c r="AA19" s="55">
        <f t="shared" si="5"/>
        <v>114919900</v>
      </c>
      <c r="AB19" s="56">
        <f t="shared" si="6"/>
        <v>0</v>
      </c>
      <c r="AC19" s="56"/>
      <c r="AD19" s="60">
        <v>45930</v>
      </c>
      <c r="AE19" s="60">
        <f>AD19+7</f>
        <v>45937</v>
      </c>
      <c r="AF19" s="58">
        <f>AE19+30</f>
        <v>45967</v>
      </c>
      <c r="AG19" s="58">
        <f>AE19+60</f>
        <v>45997</v>
      </c>
      <c r="AH19" s="58"/>
      <c r="AI19" s="53" t="s">
        <v>63</v>
      </c>
      <c r="AJ19" s="53"/>
      <c r="AK19" s="183">
        <f>VLOOKUP(C19,investasi!$B$5:$G$18,6,0)</f>
        <v>57248700</v>
      </c>
      <c r="AL19" s="184">
        <f t="shared" si="7"/>
        <v>114919900</v>
      </c>
      <c r="AM19" s="184">
        <f t="shared" si="11"/>
        <v>-57671200</v>
      </c>
      <c r="AN19" s="59" t="s">
        <v>128</v>
      </c>
    </row>
    <row r="20" spans="1:42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45000000</v>
      </c>
      <c r="F20" s="56">
        <f t="shared" si="9"/>
        <v>225000000</v>
      </c>
      <c r="G20" s="53" t="s">
        <v>3</v>
      </c>
      <c r="H20" s="55">
        <f>SUMIF(Detail!$B$4:$B$25,'Summary V.4 (5)'!$C20,Detail!$E$4:$E$25)</f>
        <v>2</v>
      </c>
      <c r="I20" s="55"/>
      <c r="J20" s="55">
        <f>VLOOKUP($C20,Detail!$B$4:$Q$25,5,0)</f>
        <v>225000000</v>
      </c>
      <c r="K20" s="55">
        <f t="shared" si="0"/>
        <v>450000000</v>
      </c>
      <c r="L20" s="55">
        <f>SUMIF(Detail!$B$4:$B$25,'Summary V.4 (5)'!C20,Detail!$H$4:$H$25)</f>
        <v>225000000</v>
      </c>
      <c r="M20" s="55">
        <f t="shared" si="1"/>
        <v>22500000</v>
      </c>
      <c r="N20" s="56">
        <f t="shared" si="2"/>
        <v>45000000</v>
      </c>
      <c r="O20" s="56"/>
      <c r="P20" s="56">
        <f t="shared" ref="P20:P36" si="12">SUM(N20:O20)</f>
        <v>45000000</v>
      </c>
      <c r="Q20" s="53"/>
      <c r="R20" s="56">
        <v>0</v>
      </c>
      <c r="S20" s="53">
        <v>2</v>
      </c>
      <c r="T20" s="53"/>
      <c r="U20" s="53"/>
      <c r="V20" s="53"/>
      <c r="W20" s="53"/>
      <c r="X20" s="53"/>
      <c r="Y20" s="56">
        <f t="shared" si="3"/>
        <v>2</v>
      </c>
      <c r="Z20" s="56">
        <f t="shared" si="4"/>
        <v>0</v>
      </c>
      <c r="AA20" s="55">
        <f t="shared" si="5"/>
        <v>45000000</v>
      </c>
      <c r="AB20" s="56">
        <f t="shared" si="6"/>
        <v>0</v>
      </c>
      <c r="AC20" s="56"/>
      <c r="AD20" s="60">
        <v>45923</v>
      </c>
      <c r="AE20" s="60">
        <f t="shared" ref="AE20:AE27" si="13">AD20+7</f>
        <v>45930</v>
      </c>
      <c r="AF20" s="58">
        <f t="shared" ref="AF20:AF27" si="14">AE20+30</f>
        <v>45960</v>
      </c>
      <c r="AG20" s="58">
        <f t="shared" ref="AG20:AG27" si="15">AE20+60</f>
        <v>45990</v>
      </c>
      <c r="AH20" s="58"/>
      <c r="AI20" s="53" t="s">
        <v>63</v>
      </c>
      <c r="AJ20" s="53"/>
      <c r="AK20" s="183">
        <f>VLOOKUP(C20,investasi!$B$5:$G$18,6,0)</f>
        <v>45000000</v>
      </c>
      <c r="AL20" s="184">
        <f t="shared" si="7"/>
        <v>45000000</v>
      </c>
      <c r="AM20" s="184">
        <f t="shared" si="11"/>
        <v>0</v>
      </c>
    </row>
    <row r="21" spans="1:42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52594750</v>
      </c>
      <c r="F21" s="56">
        <f t="shared" si="9"/>
        <v>404575000</v>
      </c>
      <c r="G21" s="53" t="s">
        <v>50</v>
      </c>
      <c r="H21" s="55">
        <v>20</v>
      </c>
      <c r="I21" s="55"/>
      <c r="J21" s="55">
        <f>VLOOKUP($C21,Detail!$B$4:$Q$25,5,0)</f>
        <v>40457500</v>
      </c>
      <c r="K21" s="55">
        <f t="shared" si="0"/>
        <v>809150000</v>
      </c>
      <c r="L21" s="55">
        <f t="shared" ref="L21:L44" si="16">K21*50%</f>
        <v>404575000</v>
      </c>
      <c r="M21" s="55">
        <f>(L21*13%)/H21</f>
        <v>2629737.5</v>
      </c>
      <c r="N21" s="56">
        <f>L21*13%</f>
        <v>52594750</v>
      </c>
      <c r="O21" s="56"/>
      <c r="P21" s="56">
        <f t="shared" si="12"/>
        <v>52594750</v>
      </c>
      <c r="Q21" s="53"/>
      <c r="R21" s="56">
        <v>0</v>
      </c>
      <c r="S21" s="53"/>
      <c r="T21" s="53">
        <v>20</v>
      </c>
      <c r="U21" s="53"/>
      <c r="V21" s="53"/>
      <c r="W21" s="53"/>
      <c r="X21" s="53"/>
      <c r="Y21" s="56">
        <f t="shared" si="3"/>
        <v>20</v>
      </c>
      <c r="Z21" s="56">
        <f t="shared" si="4"/>
        <v>0</v>
      </c>
      <c r="AA21" s="55">
        <f t="shared" si="5"/>
        <v>52594750</v>
      </c>
      <c r="AB21" s="56">
        <f t="shared" si="6"/>
        <v>0</v>
      </c>
      <c r="AC21" s="56"/>
      <c r="AD21" s="60">
        <v>45922</v>
      </c>
      <c r="AE21" s="60">
        <f t="shared" si="13"/>
        <v>45929</v>
      </c>
      <c r="AF21" s="58">
        <f t="shared" si="14"/>
        <v>45959</v>
      </c>
      <c r="AG21" s="58">
        <f t="shared" si="15"/>
        <v>45989</v>
      </c>
      <c r="AH21" s="58"/>
      <c r="AI21" s="53" t="s">
        <v>63</v>
      </c>
      <c r="AJ21" s="53"/>
      <c r="AK21" s="183">
        <f>VLOOKUP(C21,investasi!$B$5:$G$18,6,0)</f>
        <v>52594750</v>
      </c>
      <c r="AL21" s="184">
        <f t="shared" si="7"/>
        <v>52594750</v>
      </c>
      <c r="AM21" s="184">
        <f t="shared" si="11"/>
        <v>0</v>
      </c>
    </row>
    <row r="22" spans="1:42" s="282" customFormat="1" x14ac:dyDescent="0.25">
      <c r="A22" s="272">
        <v>11</v>
      </c>
      <c r="B22" s="273">
        <f>Detail!$C$45</f>
        <v>45891</v>
      </c>
      <c r="C22" s="272">
        <f>Detail!$B$45</f>
        <v>5200972695</v>
      </c>
      <c r="D22" s="274" t="s">
        <v>63</v>
      </c>
      <c r="E22" s="56">
        <f t="shared" si="8"/>
        <v>102000000</v>
      </c>
      <c r="F22" s="56">
        <f t="shared" si="9"/>
        <v>402000000</v>
      </c>
      <c r="G22" s="274" t="s">
        <v>56</v>
      </c>
      <c r="H22" s="276">
        <v>8</v>
      </c>
      <c r="I22" s="276">
        <v>75000000</v>
      </c>
      <c r="J22" s="276">
        <v>100500000</v>
      </c>
      <c r="K22" s="276">
        <f t="shared" si="0"/>
        <v>804000000</v>
      </c>
      <c r="L22" s="276">
        <f t="shared" si="16"/>
        <v>402000000</v>
      </c>
      <c r="M22" s="276">
        <v>12750000</v>
      </c>
      <c r="N22" s="283">
        <f>H22*M22</f>
        <v>102000000</v>
      </c>
      <c r="O22" s="275"/>
      <c r="P22" s="275">
        <f t="shared" si="12"/>
        <v>102000000</v>
      </c>
      <c r="Q22" s="274"/>
      <c r="R22" s="275">
        <v>0</v>
      </c>
      <c r="S22" s="274">
        <v>8</v>
      </c>
      <c r="T22" s="274"/>
      <c r="U22" s="274"/>
      <c r="V22" s="274"/>
      <c r="W22" s="274"/>
      <c r="X22" s="274" t="s">
        <v>58</v>
      </c>
      <c r="Y22" s="275">
        <f t="shared" si="3"/>
        <v>8</v>
      </c>
      <c r="Z22" s="275">
        <f t="shared" si="4"/>
        <v>0</v>
      </c>
      <c r="AA22" s="276">
        <f t="shared" si="5"/>
        <v>102000000</v>
      </c>
      <c r="AB22" s="275">
        <f t="shared" si="6"/>
        <v>0</v>
      </c>
      <c r="AC22" s="275"/>
      <c r="AD22" s="273">
        <v>45925</v>
      </c>
      <c r="AE22" s="277">
        <f t="shared" si="13"/>
        <v>45932</v>
      </c>
      <c r="AF22" s="278">
        <f t="shared" si="14"/>
        <v>45962</v>
      </c>
      <c r="AG22" s="279">
        <f t="shared" si="15"/>
        <v>45992</v>
      </c>
      <c r="AH22" s="279"/>
      <c r="AI22" s="274" t="s">
        <v>63</v>
      </c>
      <c r="AJ22" s="274"/>
      <c r="AK22" s="280">
        <f>VLOOKUP(C22,investasi!$B$5:$G$18,6,0)</f>
        <v>80400000</v>
      </c>
      <c r="AL22" s="281">
        <f t="shared" si="7"/>
        <v>102000000</v>
      </c>
      <c r="AM22" s="281">
        <f t="shared" si="11"/>
        <v>-21600000</v>
      </c>
      <c r="AN22" s="282" t="s">
        <v>113</v>
      </c>
      <c r="AP22" s="280">
        <v>21600000</v>
      </c>
    </row>
    <row r="23" spans="1:42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68500000</v>
      </c>
      <c r="F23" s="56">
        <f t="shared" si="9"/>
        <v>342500000</v>
      </c>
      <c r="G23" s="59" t="s">
        <v>61</v>
      </c>
      <c r="H23" s="55">
        <v>1</v>
      </c>
      <c r="I23" s="55"/>
      <c r="J23" s="55">
        <f>Detail!F53</f>
        <v>685000000</v>
      </c>
      <c r="K23" s="55">
        <f t="shared" si="0"/>
        <v>685000000</v>
      </c>
      <c r="L23" s="55">
        <f t="shared" si="16"/>
        <v>342500000</v>
      </c>
      <c r="M23" s="55">
        <f t="shared" ref="M23:M35" si="17">(L23*20%)/H23</f>
        <v>68500000</v>
      </c>
      <c r="N23" s="56">
        <f t="shared" ref="N23:N26" si="18">L23*20%</f>
        <v>68500000</v>
      </c>
      <c r="O23" s="56"/>
      <c r="P23" s="56">
        <f t="shared" si="12"/>
        <v>68500000</v>
      </c>
      <c r="Q23" s="53"/>
      <c r="R23" s="56"/>
      <c r="S23" s="53">
        <v>1</v>
      </c>
      <c r="T23" s="53"/>
      <c r="U23" s="53"/>
      <c r="V23" s="53"/>
      <c r="W23" s="53"/>
      <c r="X23" s="53"/>
      <c r="Y23" s="56">
        <f t="shared" si="3"/>
        <v>1</v>
      </c>
      <c r="Z23" s="56">
        <f t="shared" si="4"/>
        <v>0</v>
      </c>
      <c r="AA23" s="55">
        <f t="shared" si="5"/>
        <v>68500000</v>
      </c>
      <c r="AB23" s="56">
        <f t="shared" si="6"/>
        <v>0</v>
      </c>
      <c r="AC23" s="56"/>
      <c r="AD23" s="60">
        <v>45923</v>
      </c>
      <c r="AE23" s="218">
        <f t="shared" si="13"/>
        <v>45930</v>
      </c>
      <c r="AF23" s="182">
        <f t="shared" si="14"/>
        <v>45960</v>
      </c>
      <c r="AG23" s="58">
        <f t="shared" si="15"/>
        <v>45990</v>
      </c>
      <c r="AH23" s="58"/>
      <c r="AI23" s="53" t="s">
        <v>63</v>
      </c>
      <c r="AJ23" s="53"/>
      <c r="AK23" s="183">
        <f>VLOOKUP(C23,investasi!$B$5:$G$18,6,0)</f>
        <v>68500000</v>
      </c>
      <c r="AL23" s="184">
        <f t="shared" si="7"/>
        <v>68500000</v>
      </c>
      <c r="AM23" s="184">
        <f t="shared" si="11"/>
        <v>0</v>
      </c>
    </row>
    <row r="24" spans="1:42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45000000</v>
      </c>
      <c r="F24" s="56">
        <f t="shared" si="9"/>
        <v>225000000</v>
      </c>
      <c r="G24" s="53" t="s">
        <v>3</v>
      </c>
      <c r="H24" s="55">
        <v>2</v>
      </c>
      <c r="I24" s="55"/>
      <c r="J24" s="55">
        <f>Detail!F54</f>
        <v>225000000</v>
      </c>
      <c r="K24" s="55">
        <f t="shared" si="0"/>
        <v>450000000</v>
      </c>
      <c r="L24" s="55">
        <f t="shared" si="16"/>
        <v>225000000</v>
      </c>
      <c r="M24" s="55">
        <f t="shared" si="17"/>
        <v>22500000</v>
      </c>
      <c r="N24" s="56">
        <f>L24*20%</f>
        <v>45000000</v>
      </c>
      <c r="O24" s="56"/>
      <c r="P24" s="56">
        <f t="shared" si="12"/>
        <v>45000000</v>
      </c>
      <c r="Q24" s="53"/>
      <c r="R24" s="56"/>
      <c r="S24" s="53">
        <v>2</v>
      </c>
      <c r="T24" s="53"/>
      <c r="U24" s="53"/>
      <c r="V24" s="53"/>
      <c r="W24" s="53"/>
      <c r="X24" s="53"/>
      <c r="Y24" s="56">
        <f t="shared" si="3"/>
        <v>2</v>
      </c>
      <c r="Z24" s="56">
        <f t="shared" si="4"/>
        <v>0</v>
      </c>
      <c r="AA24" s="55">
        <f t="shared" si="5"/>
        <v>45000000</v>
      </c>
      <c r="AB24" s="56">
        <f t="shared" si="6"/>
        <v>0</v>
      </c>
      <c r="AC24" s="56"/>
      <c r="AD24" s="218">
        <v>45925</v>
      </c>
      <c r="AE24" s="218">
        <f t="shared" si="13"/>
        <v>45932</v>
      </c>
      <c r="AF24" s="182">
        <f t="shared" si="14"/>
        <v>45962</v>
      </c>
      <c r="AG24" s="58">
        <f t="shared" si="15"/>
        <v>45992</v>
      </c>
      <c r="AH24" s="58"/>
      <c r="AI24" s="53" t="s">
        <v>63</v>
      </c>
      <c r="AJ24" s="55"/>
      <c r="AK24" s="183">
        <f>VLOOKUP(C24,investasi!$B$5:$G$18,6,0)</f>
        <v>45000000</v>
      </c>
      <c r="AL24" s="184">
        <f t="shared" si="7"/>
        <v>45000000</v>
      </c>
      <c r="AM24" s="184">
        <f t="shared" si="11"/>
        <v>0</v>
      </c>
    </row>
    <row r="25" spans="1:42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223104820</v>
      </c>
      <c r="F25" s="56">
        <f t="shared" si="9"/>
        <v>1115524100</v>
      </c>
      <c r="G25" s="53" t="s">
        <v>64</v>
      </c>
      <c r="H25" s="55">
        <v>1</v>
      </c>
      <c r="I25" s="55"/>
      <c r="J25" s="55">
        <f>Detail!F56</f>
        <v>2231048200</v>
      </c>
      <c r="K25" s="55">
        <f t="shared" si="0"/>
        <v>2231048200</v>
      </c>
      <c r="L25" s="55">
        <f t="shared" si="16"/>
        <v>1115524100</v>
      </c>
      <c r="M25" s="55">
        <f t="shared" si="17"/>
        <v>223104820</v>
      </c>
      <c r="N25" s="56">
        <f t="shared" si="18"/>
        <v>223104820</v>
      </c>
      <c r="O25" s="56"/>
      <c r="P25" s="56">
        <f t="shared" si="12"/>
        <v>223104820</v>
      </c>
      <c r="Q25" s="53"/>
      <c r="R25" s="56"/>
      <c r="S25" s="53">
        <v>1</v>
      </c>
      <c r="T25" s="53"/>
      <c r="U25" s="53"/>
      <c r="V25" s="53"/>
      <c r="W25" s="53"/>
      <c r="X25" s="53"/>
      <c r="Y25" s="56">
        <f t="shared" si="3"/>
        <v>1</v>
      </c>
      <c r="Z25" s="56">
        <f t="shared" si="4"/>
        <v>0</v>
      </c>
      <c r="AA25" s="55">
        <f t="shared" si="5"/>
        <v>223104820</v>
      </c>
      <c r="AB25" s="56">
        <f t="shared" si="6"/>
        <v>0</v>
      </c>
      <c r="AC25" s="56"/>
      <c r="AD25" s="218">
        <v>45930</v>
      </c>
      <c r="AE25" s="218">
        <f t="shared" si="13"/>
        <v>45937</v>
      </c>
      <c r="AF25" s="182">
        <f t="shared" si="14"/>
        <v>45967</v>
      </c>
      <c r="AG25" s="58">
        <f t="shared" si="15"/>
        <v>45997</v>
      </c>
      <c r="AH25" s="58"/>
      <c r="AI25" s="53" t="s">
        <v>63</v>
      </c>
      <c r="AJ25" s="53"/>
      <c r="AK25" s="183">
        <f>VLOOKUP(C25,investasi!$B$5:$G$18,6,0)</f>
        <v>223104820</v>
      </c>
      <c r="AL25" s="184">
        <f t="shared" si="7"/>
        <v>223104820</v>
      </c>
      <c r="AM25" s="184">
        <f t="shared" si="11"/>
        <v>0</v>
      </c>
    </row>
    <row r="26" spans="1:42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45000000</v>
      </c>
      <c r="F26" s="56">
        <f t="shared" si="9"/>
        <v>225000000</v>
      </c>
      <c r="G26" s="53" t="str">
        <f>Detail!$D$58</f>
        <v>Top Frame 800</v>
      </c>
      <c r="H26" s="55">
        <v>2</v>
      </c>
      <c r="I26" s="55"/>
      <c r="J26" s="55">
        <f>Detail!$F$58</f>
        <v>225000000</v>
      </c>
      <c r="K26" s="55">
        <f t="shared" si="0"/>
        <v>450000000</v>
      </c>
      <c r="L26" s="55">
        <f t="shared" si="16"/>
        <v>225000000</v>
      </c>
      <c r="M26" s="55">
        <f t="shared" si="17"/>
        <v>22500000</v>
      </c>
      <c r="N26" s="283">
        <f t="shared" si="18"/>
        <v>45000000</v>
      </c>
      <c r="O26" s="56"/>
      <c r="P26" s="56">
        <f t="shared" si="12"/>
        <v>45000000</v>
      </c>
      <c r="Q26" s="53"/>
      <c r="R26" s="56"/>
      <c r="S26" s="53">
        <v>2</v>
      </c>
      <c r="T26" s="53"/>
      <c r="U26" s="53"/>
      <c r="V26" s="53"/>
      <c r="W26" s="53"/>
      <c r="X26" s="53"/>
      <c r="Y26" s="56">
        <f t="shared" si="3"/>
        <v>2</v>
      </c>
      <c r="Z26" s="56">
        <f t="shared" si="4"/>
        <v>0</v>
      </c>
      <c r="AA26" s="55">
        <f t="shared" si="5"/>
        <v>45000000</v>
      </c>
      <c r="AB26" s="56">
        <f t="shared" si="6"/>
        <v>0</v>
      </c>
      <c r="AC26" s="56"/>
      <c r="AD26" s="218">
        <v>45940</v>
      </c>
      <c r="AE26" s="218">
        <f t="shared" si="13"/>
        <v>45947</v>
      </c>
      <c r="AF26" s="182">
        <f t="shared" si="14"/>
        <v>45977</v>
      </c>
      <c r="AG26" s="58">
        <f t="shared" si="15"/>
        <v>46007</v>
      </c>
      <c r="AH26" s="58"/>
      <c r="AI26" s="53" t="s">
        <v>63</v>
      </c>
      <c r="AJ26" s="53"/>
      <c r="AK26" s="183">
        <f>VLOOKUP(C26,investasi!$B$23:$G$26,6,0)</f>
        <v>45000000</v>
      </c>
      <c r="AL26" s="184">
        <f t="shared" si="7"/>
        <v>45000000</v>
      </c>
      <c r="AM26" s="184">
        <f t="shared" si="11"/>
        <v>0</v>
      </c>
    </row>
    <row r="27" spans="1:42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134761000</v>
      </c>
      <c r="F27" s="56">
        <f t="shared" si="9"/>
        <v>342500000</v>
      </c>
      <c r="G27" s="53" t="s">
        <v>61</v>
      </c>
      <c r="H27" s="55">
        <v>1</v>
      </c>
      <c r="I27" s="55"/>
      <c r="J27" s="55">
        <f>Detail!F59</f>
        <v>685000000</v>
      </c>
      <c r="K27" s="55">
        <f t="shared" si="0"/>
        <v>685000000</v>
      </c>
      <c r="L27" s="55">
        <f t="shared" si="16"/>
        <v>342500000</v>
      </c>
      <c r="M27" s="55">
        <f t="shared" si="17"/>
        <v>68500000</v>
      </c>
      <c r="N27" s="283">
        <f>(L27*20%)+I27</f>
        <v>68500000</v>
      </c>
      <c r="O27" s="56">
        <v>66261000</v>
      </c>
      <c r="P27" s="56">
        <f t="shared" si="12"/>
        <v>134761000</v>
      </c>
      <c r="Q27" s="53"/>
      <c r="R27" s="56"/>
      <c r="S27" s="53">
        <v>1</v>
      </c>
      <c r="T27" s="53"/>
      <c r="U27" s="53"/>
      <c r="V27" s="53"/>
      <c r="W27" s="53"/>
      <c r="X27" s="53"/>
      <c r="Y27" s="56">
        <f t="shared" si="3"/>
        <v>1</v>
      </c>
      <c r="Z27" s="56">
        <f t="shared" si="4"/>
        <v>0</v>
      </c>
      <c r="AA27" s="55">
        <f>M27*Y27+O27</f>
        <v>134761000</v>
      </c>
      <c r="AB27" s="56">
        <f>N27+O27-AA27</f>
        <v>0</v>
      </c>
      <c r="AC27" s="56"/>
      <c r="AD27" s="218">
        <v>45940</v>
      </c>
      <c r="AE27" s="218">
        <f t="shared" si="13"/>
        <v>45947</v>
      </c>
      <c r="AF27" s="182">
        <f t="shared" si="14"/>
        <v>45977</v>
      </c>
      <c r="AG27" s="58">
        <f t="shared" si="15"/>
        <v>46007</v>
      </c>
      <c r="AH27" s="58"/>
      <c r="AI27" s="53" t="s">
        <v>63</v>
      </c>
      <c r="AJ27" s="53"/>
      <c r="AK27" s="183">
        <f>VLOOKUP(C27,investasi!$B$23:$G$26,6,0)+investasi!I24</f>
        <v>134761000</v>
      </c>
      <c r="AL27" s="184">
        <f t="shared" si="7"/>
        <v>134761000</v>
      </c>
      <c r="AM27" s="184">
        <f t="shared" si="11"/>
        <v>0</v>
      </c>
    </row>
    <row r="28" spans="1:42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6">
        <f t="shared" si="9"/>
        <v>0</v>
      </c>
      <c r="G28" s="53"/>
      <c r="H28" s="55"/>
      <c r="I28" s="55"/>
      <c r="J28" s="55"/>
      <c r="K28" s="55"/>
      <c r="L28" s="55"/>
      <c r="M28" s="55"/>
      <c r="N28" s="56"/>
      <c r="O28" s="56"/>
      <c r="P28" s="56"/>
      <c r="Q28" s="53"/>
      <c r="R28" s="56"/>
      <c r="S28" s="53"/>
      <c r="T28" s="53"/>
      <c r="U28" s="53"/>
      <c r="V28" s="53"/>
      <c r="W28" s="53"/>
      <c r="X28" s="53"/>
      <c r="Y28" s="56">
        <f t="shared" si="3"/>
        <v>0</v>
      </c>
      <c r="Z28" s="56"/>
      <c r="AA28" s="55"/>
      <c r="AB28" s="56"/>
      <c r="AC28" s="56"/>
      <c r="AD28" s="218"/>
      <c r="AE28" s="218"/>
      <c r="AF28" s="182"/>
      <c r="AG28" s="58"/>
      <c r="AH28" s="58"/>
      <c r="AI28" s="53" t="s">
        <v>63</v>
      </c>
      <c r="AJ28" s="53"/>
      <c r="AK28" s="183"/>
      <c r="AL28" s="184"/>
    </row>
    <row r="29" spans="1:42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134761000</v>
      </c>
      <c r="F29" s="56">
        <f t="shared" si="9"/>
        <v>342500000</v>
      </c>
      <c r="G29" s="53" t="s">
        <v>61</v>
      </c>
      <c r="H29" s="55">
        <v>1</v>
      </c>
      <c r="I29" s="55"/>
      <c r="J29" s="55">
        <f>Detail!F60</f>
        <v>685000000</v>
      </c>
      <c r="K29" s="55">
        <f t="shared" si="0"/>
        <v>685000000</v>
      </c>
      <c r="L29" s="55">
        <f t="shared" si="16"/>
        <v>342500000</v>
      </c>
      <c r="M29" s="55">
        <f t="shared" si="17"/>
        <v>68500000</v>
      </c>
      <c r="N29" s="283">
        <f>(L29*20%)+I29</f>
        <v>68500000</v>
      </c>
      <c r="O29" s="56">
        <v>66261000</v>
      </c>
      <c r="P29" s="56">
        <f t="shared" si="12"/>
        <v>134761000</v>
      </c>
      <c r="Q29" s="53"/>
      <c r="R29" s="56"/>
      <c r="S29" s="53"/>
      <c r="T29" s="53"/>
      <c r="U29" s="53">
        <v>1</v>
      </c>
      <c r="V29" s="53"/>
      <c r="W29" s="53"/>
      <c r="X29" s="53"/>
      <c r="Y29" s="56">
        <f t="shared" si="3"/>
        <v>1</v>
      </c>
      <c r="Z29" s="56">
        <f t="shared" ref="Z29:Z43" si="19">H29-Y29</f>
        <v>0</v>
      </c>
      <c r="AA29" s="55">
        <f t="shared" ref="AA29:AA35" si="20">M29*Y29+O29</f>
        <v>134761000</v>
      </c>
      <c r="AB29" s="56">
        <f>N29+O29-AA29</f>
        <v>0</v>
      </c>
      <c r="AC29" s="56"/>
      <c r="AD29" s="218">
        <v>45989</v>
      </c>
      <c r="AE29" s="218">
        <v>46008</v>
      </c>
      <c r="AF29" s="218">
        <v>46034</v>
      </c>
      <c r="AG29" s="218">
        <f>AE29+30</f>
        <v>46038</v>
      </c>
      <c r="AH29" s="218">
        <v>46034</v>
      </c>
      <c r="AI29" s="53" t="s">
        <v>63</v>
      </c>
      <c r="AJ29" s="53" t="s">
        <v>168</v>
      </c>
      <c r="AK29" s="183">
        <f>VLOOKUP(C29,investasi!$B$23:$G$26,6,0)+investasi!I26</f>
        <v>134761000</v>
      </c>
      <c r="AL29" s="184">
        <f>P29</f>
        <v>134761000</v>
      </c>
      <c r="AM29" s="184">
        <f t="shared" si="11"/>
        <v>0</v>
      </c>
    </row>
    <row r="30" spans="1:42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74857500</v>
      </c>
      <c r="F30" s="56">
        <f t="shared" si="9"/>
        <v>374287500</v>
      </c>
      <c r="G30" s="53" t="s">
        <v>114</v>
      </c>
      <c r="H30" s="55">
        <v>150</v>
      </c>
      <c r="I30" s="55"/>
      <c r="J30" s="55">
        <v>4990500</v>
      </c>
      <c r="K30" s="55">
        <f>H30*J30</f>
        <v>748575000</v>
      </c>
      <c r="L30" s="55">
        <f t="shared" si="16"/>
        <v>374287500</v>
      </c>
      <c r="M30" s="55">
        <f t="shared" si="17"/>
        <v>499050</v>
      </c>
      <c r="N30" s="283">
        <f>(L30*20%)+I30</f>
        <v>74857500</v>
      </c>
      <c r="O30" s="56"/>
      <c r="P30" s="56">
        <f t="shared" si="12"/>
        <v>74857500</v>
      </c>
      <c r="Q30" s="53"/>
      <c r="R30" s="56"/>
      <c r="S30" s="53"/>
      <c r="T30" s="53"/>
      <c r="U30" s="53">
        <v>150</v>
      </c>
      <c r="V30" s="53"/>
      <c r="W30" s="53"/>
      <c r="X30" s="53"/>
      <c r="Y30" s="56">
        <f t="shared" si="3"/>
        <v>150</v>
      </c>
      <c r="Z30" s="56">
        <f t="shared" si="19"/>
        <v>0</v>
      </c>
      <c r="AA30" s="55">
        <f t="shared" si="20"/>
        <v>74857500</v>
      </c>
      <c r="AB30" s="56">
        <f>N30+O30-AA30</f>
        <v>0</v>
      </c>
      <c r="AC30" s="56"/>
      <c r="AD30" s="218">
        <v>45989</v>
      </c>
      <c r="AE30" s="218">
        <v>46008</v>
      </c>
      <c r="AF30" s="218">
        <v>46034</v>
      </c>
      <c r="AG30" s="218">
        <f>AE30+30</f>
        <v>46038</v>
      </c>
      <c r="AH30" s="218">
        <v>46034</v>
      </c>
      <c r="AI30" s="53" t="s">
        <v>63</v>
      </c>
      <c r="AJ30" s="53" t="s">
        <v>168</v>
      </c>
      <c r="AK30" s="183"/>
      <c r="AL30" s="184"/>
      <c r="AM30" s="184"/>
      <c r="AN30" s="59" t="s">
        <v>60</v>
      </c>
    </row>
    <row r="31" spans="1:42" s="59" customFormat="1" ht="14.25" customHeight="1" x14ac:dyDescent="0.25">
      <c r="A31" s="339">
        <f t="shared" ref="A31:A44" si="21">A30+1</f>
        <v>20</v>
      </c>
      <c r="B31" s="341">
        <v>45977</v>
      </c>
      <c r="C31" s="343">
        <v>5200989664</v>
      </c>
      <c r="D31" s="53" t="s">
        <v>63</v>
      </c>
      <c r="E31" s="56">
        <f t="shared" si="8"/>
        <v>0</v>
      </c>
      <c r="F31" s="56">
        <f t="shared" si="9"/>
        <v>0</v>
      </c>
      <c r="G31" s="53" t="s">
        <v>115</v>
      </c>
      <c r="H31" s="55">
        <v>50</v>
      </c>
      <c r="I31" s="55"/>
      <c r="J31" s="55">
        <v>21100000</v>
      </c>
      <c r="K31" s="55">
        <f t="shared" ref="K31:K36" si="22">H31*J31</f>
        <v>1055000000</v>
      </c>
      <c r="L31" s="55">
        <f t="shared" si="16"/>
        <v>527500000</v>
      </c>
      <c r="M31" s="55">
        <f t="shared" si="17"/>
        <v>2110000</v>
      </c>
      <c r="N31" s="56">
        <f>(L31*20%)</f>
        <v>105500000</v>
      </c>
      <c r="O31" s="56"/>
      <c r="P31" s="56">
        <f t="shared" si="12"/>
        <v>105500000</v>
      </c>
      <c r="Q31" s="53"/>
      <c r="R31" s="56"/>
      <c r="S31" s="53"/>
      <c r="T31" s="53"/>
      <c r="U31" s="53"/>
      <c r="V31" s="53">
        <v>50</v>
      </c>
      <c r="W31" s="53"/>
      <c r="X31" s="53"/>
      <c r="Y31" s="56">
        <f t="shared" si="3"/>
        <v>50</v>
      </c>
      <c r="Z31" s="56">
        <f t="shared" si="19"/>
        <v>0</v>
      </c>
      <c r="AA31" s="55">
        <f t="shared" si="20"/>
        <v>105500000</v>
      </c>
      <c r="AB31" s="56">
        <f>AA31</f>
        <v>105500000</v>
      </c>
      <c r="AC31" s="56">
        <f>L31</f>
        <v>527500000</v>
      </c>
      <c r="AD31" s="60">
        <v>46031</v>
      </c>
      <c r="AE31" s="298">
        <v>46031</v>
      </c>
      <c r="AF31" s="182">
        <f>AD31+30</f>
        <v>46061</v>
      </c>
      <c r="AG31" s="58"/>
      <c r="AH31" s="58"/>
      <c r="AI31" s="53" t="s">
        <v>69</v>
      </c>
      <c r="AJ31" s="53"/>
      <c r="AK31" s="183"/>
      <c r="AL31" s="184"/>
      <c r="AM31" s="184"/>
    </row>
    <row r="32" spans="1:42" s="293" customFormat="1" ht="14.25" customHeight="1" x14ac:dyDescent="0.25">
      <c r="A32" s="340"/>
      <c r="B32" s="342"/>
      <c r="C32" s="344"/>
      <c r="D32" s="284" t="s">
        <v>65</v>
      </c>
      <c r="E32" s="56">
        <f t="shared" si="8"/>
        <v>0</v>
      </c>
      <c r="F32" s="56">
        <f t="shared" si="9"/>
        <v>0</v>
      </c>
      <c r="G32" s="284" t="s">
        <v>115</v>
      </c>
      <c r="H32" s="285">
        <v>50</v>
      </c>
      <c r="I32" s="285"/>
      <c r="J32" s="285">
        <v>21100000</v>
      </c>
      <c r="K32" s="285">
        <f t="shared" ref="K32" si="23">H32*J32</f>
        <v>1055000000</v>
      </c>
      <c r="L32" s="285">
        <f t="shared" ref="L32" si="24">K32*50%</f>
        <v>527500000</v>
      </c>
      <c r="M32" s="285">
        <f t="shared" ref="M32" si="25">(L32*20%)/H32</f>
        <v>2110000</v>
      </c>
      <c r="N32" s="286">
        <f t="shared" ref="N32" si="26">(L32*20%)+I32</f>
        <v>105500000</v>
      </c>
      <c r="O32" s="286"/>
      <c r="P32" s="286">
        <f t="shared" ref="P32" si="27">SUM(N32:O32)</f>
        <v>105500000</v>
      </c>
      <c r="Q32" s="284"/>
      <c r="R32" s="286"/>
      <c r="S32" s="284"/>
      <c r="T32" s="284"/>
      <c r="U32" s="284"/>
      <c r="V32" s="284"/>
      <c r="W32" s="284">
        <v>50</v>
      </c>
      <c r="X32" s="284"/>
      <c r="Y32" s="286">
        <f t="shared" ref="Y32" si="28">SUM(Q32:V32)</f>
        <v>0</v>
      </c>
      <c r="Z32" s="286">
        <f t="shared" ref="Z32" si="29">H32-Y32</f>
        <v>50</v>
      </c>
      <c r="AA32" s="285">
        <f t="shared" si="20"/>
        <v>0</v>
      </c>
      <c r="AB32" s="286">
        <f t="shared" ref="AB32" si="30">N32+O32-AA32</f>
        <v>105500000</v>
      </c>
      <c r="AC32" s="286">
        <f t="shared" ref="AC32:AC33" si="31">L32</f>
        <v>527500000</v>
      </c>
      <c r="AD32" s="287">
        <v>46031</v>
      </c>
      <c r="AE32" s="288">
        <v>46031</v>
      </c>
      <c r="AF32" s="289">
        <f>AD32+30</f>
        <v>46061</v>
      </c>
      <c r="AG32" s="290"/>
      <c r="AH32" s="290"/>
      <c r="AI32" s="284" t="s">
        <v>69</v>
      </c>
      <c r="AJ32" s="284"/>
      <c r="AK32" s="291"/>
      <c r="AL32" s="292"/>
      <c r="AM32" s="292"/>
    </row>
    <row r="33" spans="1:39" s="293" customFormat="1" ht="14.25" customHeight="1" x14ac:dyDescent="0.25">
      <c r="A33" s="294">
        <f>A31+1</f>
        <v>21</v>
      </c>
      <c r="B33" s="287">
        <v>45977</v>
      </c>
      <c r="C33" s="294">
        <v>5200989665</v>
      </c>
      <c r="D33" s="284" t="s">
        <v>69</v>
      </c>
      <c r="E33" s="56">
        <f t="shared" si="8"/>
        <v>0</v>
      </c>
      <c r="F33" s="56">
        <f t="shared" si="9"/>
        <v>0</v>
      </c>
      <c r="G33" s="284" t="s">
        <v>115</v>
      </c>
      <c r="H33" s="285">
        <v>50</v>
      </c>
      <c r="I33" s="285"/>
      <c r="J33" s="285">
        <v>21100000</v>
      </c>
      <c r="K33" s="285">
        <f t="shared" si="22"/>
        <v>1055000000</v>
      </c>
      <c r="L33" s="285">
        <f t="shared" si="16"/>
        <v>527500000</v>
      </c>
      <c r="M33" s="285">
        <f t="shared" si="17"/>
        <v>2110000</v>
      </c>
      <c r="N33" s="286">
        <f t="shared" ref="N33:N35" si="32">(L33*20%)+I33</f>
        <v>105500000</v>
      </c>
      <c r="O33" s="286"/>
      <c r="P33" s="286">
        <f t="shared" si="12"/>
        <v>105500000</v>
      </c>
      <c r="Q33" s="284"/>
      <c r="R33" s="286"/>
      <c r="S33" s="284"/>
      <c r="T33" s="284"/>
      <c r="U33" s="284"/>
      <c r="V33" s="284"/>
      <c r="W33" s="284">
        <v>50</v>
      </c>
      <c r="X33" s="284"/>
      <c r="Y33" s="286">
        <f t="shared" ref="Y33:Y38" si="33">SUM(Q33:W33)</f>
        <v>50</v>
      </c>
      <c r="Z33" s="286">
        <f t="shared" si="19"/>
        <v>0</v>
      </c>
      <c r="AA33" s="285">
        <f t="shared" si="20"/>
        <v>105500000</v>
      </c>
      <c r="AB33" s="286">
        <f>AA33</f>
        <v>105500000</v>
      </c>
      <c r="AC33" s="286">
        <f t="shared" si="31"/>
        <v>527500000</v>
      </c>
      <c r="AD33" s="287">
        <v>46030</v>
      </c>
      <c r="AE33" s="288">
        <v>46030</v>
      </c>
      <c r="AF33" s="289">
        <f>AD33+30</f>
        <v>46060</v>
      </c>
      <c r="AG33" s="290"/>
      <c r="AH33" s="290"/>
      <c r="AI33" s="284" t="s">
        <v>69</v>
      </c>
      <c r="AJ33" s="284"/>
      <c r="AK33" s="291"/>
      <c r="AL33" s="292"/>
      <c r="AM33" s="292"/>
    </row>
    <row r="34" spans="1:39" s="176" customFormat="1" ht="14.25" customHeight="1" x14ac:dyDescent="0.25">
      <c r="A34" s="169">
        <f>A32+1</f>
        <v>1</v>
      </c>
      <c r="B34" s="170">
        <v>45977</v>
      </c>
      <c r="C34" s="169">
        <v>5200989665</v>
      </c>
      <c r="D34" s="284" t="s">
        <v>69</v>
      </c>
      <c r="E34" s="56">
        <f t="shared" si="8"/>
        <v>0</v>
      </c>
      <c r="F34" s="56">
        <f t="shared" si="9"/>
        <v>527500000</v>
      </c>
      <c r="G34" s="171" t="s">
        <v>115</v>
      </c>
      <c r="H34" s="172">
        <v>50</v>
      </c>
      <c r="I34" s="172"/>
      <c r="J34" s="172">
        <v>21100000</v>
      </c>
      <c r="K34" s="172">
        <f t="shared" ref="K34" si="34">H34*J34</f>
        <v>1055000000</v>
      </c>
      <c r="L34" s="172">
        <f t="shared" ref="L34" si="35">K34*50%</f>
        <v>527500000</v>
      </c>
      <c r="M34" s="172">
        <f t="shared" ref="M34" si="36">(L34*20%)/H34</f>
        <v>2110000</v>
      </c>
      <c r="N34" s="173">
        <f t="shared" ref="N34" si="37">(L34*20%)+I34</f>
        <v>105500000</v>
      </c>
      <c r="O34" s="173"/>
      <c r="P34" s="173">
        <f t="shared" ref="P34" si="38">SUM(N34:O34)</f>
        <v>105500000</v>
      </c>
      <c r="Q34" s="171"/>
      <c r="R34" s="173"/>
      <c r="S34" s="171"/>
      <c r="T34" s="171"/>
      <c r="U34" s="171"/>
      <c r="V34" s="171"/>
      <c r="W34" s="171"/>
      <c r="X34" s="171"/>
      <c r="Y34" s="173">
        <f t="shared" ref="Y34" si="39">SUM(Q34:W34)</f>
        <v>0</v>
      </c>
      <c r="Z34" s="173">
        <f t="shared" ref="Z34" si="40">H34-Y34</f>
        <v>50</v>
      </c>
      <c r="AA34" s="172">
        <f t="shared" ref="AA34" si="41">M34*Y34+O34</f>
        <v>0</v>
      </c>
      <c r="AB34" s="173">
        <f t="shared" ref="AB34" si="42">N34+O34-AA34</f>
        <v>105500000</v>
      </c>
      <c r="AC34" s="173"/>
      <c r="AD34" s="170">
        <v>46030</v>
      </c>
      <c r="AE34" s="295">
        <v>46030</v>
      </c>
      <c r="AF34" s="174">
        <f>AD34+30</f>
        <v>46060</v>
      </c>
      <c r="AG34" s="175"/>
      <c r="AH34" s="175"/>
      <c r="AI34" s="171" t="s">
        <v>69</v>
      </c>
      <c r="AJ34" s="171"/>
      <c r="AK34" s="177"/>
      <c r="AL34" s="178"/>
      <c r="AM34" s="178"/>
    </row>
    <row r="35" spans="1:39" s="59" customFormat="1" x14ac:dyDescent="0.25">
      <c r="A35" s="181">
        <f>A33+1</f>
        <v>22</v>
      </c>
      <c r="B35" s="60">
        <v>45977</v>
      </c>
      <c r="C35" s="181">
        <v>5200989666</v>
      </c>
      <c r="D35" s="53" t="s">
        <v>63</v>
      </c>
      <c r="E35" s="56">
        <f t="shared" si="8"/>
        <v>232100000</v>
      </c>
      <c r="F35" s="56">
        <f t="shared" si="9"/>
        <v>1160500000</v>
      </c>
      <c r="G35" s="53" t="s">
        <v>115</v>
      </c>
      <c r="H35" s="55">
        <v>110</v>
      </c>
      <c r="I35" s="55"/>
      <c r="J35" s="55">
        <v>21100000</v>
      </c>
      <c r="K35" s="55">
        <f t="shared" si="22"/>
        <v>2321000000</v>
      </c>
      <c r="L35" s="55">
        <f t="shared" si="16"/>
        <v>1160500000</v>
      </c>
      <c r="M35" s="55">
        <f t="shared" si="17"/>
        <v>2110000</v>
      </c>
      <c r="N35" s="283">
        <f t="shared" si="32"/>
        <v>232100000</v>
      </c>
      <c r="O35" s="56"/>
      <c r="P35" s="56">
        <f t="shared" si="12"/>
        <v>232100000</v>
      </c>
      <c r="Q35" s="53"/>
      <c r="R35" s="56"/>
      <c r="S35" s="53"/>
      <c r="T35" s="53"/>
      <c r="U35" s="53"/>
      <c r="V35" s="53"/>
      <c r="W35" s="53">
        <v>110</v>
      </c>
      <c r="X35" s="53"/>
      <c r="Y35" s="56">
        <f t="shared" si="33"/>
        <v>110</v>
      </c>
      <c r="Z35" s="56">
        <v>0</v>
      </c>
      <c r="AA35" s="55">
        <f t="shared" si="20"/>
        <v>232100000</v>
      </c>
      <c r="AB35" s="56"/>
      <c r="AC35" s="56"/>
      <c r="AD35" s="218">
        <v>46027</v>
      </c>
      <c r="AE35" s="218">
        <v>45676</v>
      </c>
      <c r="AF35" s="218">
        <f>AE35+30</f>
        <v>45706</v>
      </c>
      <c r="AG35" s="218"/>
      <c r="AH35" s="218"/>
      <c r="AI35" s="53" t="s">
        <v>69</v>
      </c>
      <c r="AJ35" s="53" t="s">
        <v>189</v>
      </c>
      <c r="AK35" s="183"/>
      <c r="AL35" s="184"/>
      <c r="AM35" s="184"/>
    </row>
    <row r="36" spans="1:39" s="126" customFormat="1" ht="14.25" customHeight="1" x14ac:dyDescent="0.25">
      <c r="A36" s="120">
        <f>A35+1</f>
        <v>23</v>
      </c>
      <c r="B36" s="121">
        <v>45981</v>
      </c>
      <c r="C36" s="120">
        <v>5200992759</v>
      </c>
      <c r="D36" s="122" t="s">
        <v>65</v>
      </c>
      <c r="E36" s="122">
        <f t="shared" si="8"/>
        <v>0</v>
      </c>
      <c r="F36" s="56">
        <f t="shared" si="9"/>
        <v>0</v>
      </c>
      <c r="G36" s="122" t="s">
        <v>60</v>
      </c>
      <c r="H36" s="123">
        <v>6</v>
      </c>
      <c r="I36" s="123"/>
      <c r="J36" s="123">
        <v>100500000</v>
      </c>
      <c r="K36" s="123">
        <f t="shared" si="22"/>
        <v>603000000</v>
      </c>
      <c r="L36" s="123">
        <f t="shared" si="16"/>
        <v>301500000</v>
      </c>
      <c r="M36" s="123">
        <v>10050000</v>
      </c>
      <c r="N36" s="124">
        <f>M36*H36</f>
        <v>60300000</v>
      </c>
      <c r="O36" s="124"/>
      <c r="P36" s="124">
        <f t="shared" si="12"/>
        <v>60300000</v>
      </c>
      <c r="Q36" s="122"/>
      <c r="R36" s="124"/>
      <c r="S36" s="122"/>
      <c r="T36" s="122"/>
      <c r="U36" s="122"/>
      <c r="V36" s="122"/>
      <c r="W36" s="122">
        <v>6</v>
      </c>
      <c r="X36" s="122"/>
      <c r="Y36" s="124">
        <f t="shared" si="33"/>
        <v>6</v>
      </c>
      <c r="Z36" s="124">
        <f t="shared" ref="Z36" si="43">H36-Y36</f>
        <v>0</v>
      </c>
      <c r="AA36" s="123">
        <f>M36*Y36+O36</f>
        <v>60300000</v>
      </c>
      <c r="AB36" s="286">
        <f>AA36</f>
        <v>60300000</v>
      </c>
      <c r="AC36" s="124">
        <f>L36</f>
        <v>301500000</v>
      </c>
      <c r="AD36" s="121">
        <v>46048</v>
      </c>
      <c r="AE36" s="269">
        <v>46048</v>
      </c>
      <c r="AF36" s="129">
        <f>AE36+30</f>
        <v>46078</v>
      </c>
      <c r="AG36" s="125"/>
      <c r="AH36" s="125"/>
      <c r="AI36" s="122" t="s">
        <v>69</v>
      </c>
      <c r="AJ36" s="122" t="s">
        <v>204</v>
      </c>
      <c r="AK36" s="127"/>
      <c r="AL36" s="128"/>
      <c r="AM36" s="128"/>
    </row>
    <row r="37" spans="1:39" s="126" customFormat="1" ht="14.25" customHeight="1" x14ac:dyDescent="0.25">
      <c r="A37" s="120">
        <f t="shared" si="21"/>
        <v>24</v>
      </c>
      <c r="B37" s="121">
        <v>45985</v>
      </c>
      <c r="C37" s="120">
        <v>5200991260</v>
      </c>
      <c r="D37" s="122" t="s">
        <v>65</v>
      </c>
      <c r="E37" s="122">
        <f t="shared" si="8"/>
        <v>0</v>
      </c>
      <c r="F37" s="56">
        <f t="shared" si="9"/>
        <v>0</v>
      </c>
      <c r="G37" s="122" t="s">
        <v>114</v>
      </c>
      <c r="H37" s="123">
        <v>150</v>
      </c>
      <c r="I37" s="123"/>
      <c r="J37" s="123">
        <v>4990500</v>
      </c>
      <c r="K37" s="123">
        <f>H37*J37</f>
        <v>748575000</v>
      </c>
      <c r="L37" s="123">
        <f t="shared" si="16"/>
        <v>374287500</v>
      </c>
      <c r="M37" s="123">
        <f t="shared" ref="M37:M44" si="44">(L37*20%)/H37</f>
        <v>499050</v>
      </c>
      <c r="N37" s="124">
        <f>(L37*20%)+I37</f>
        <v>74857500</v>
      </c>
      <c r="O37" s="124"/>
      <c r="P37" s="124">
        <f t="shared" ref="P37:P44" si="45">SUM(N37:O37)</f>
        <v>74857500</v>
      </c>
      <c r="Q37" s="122"/>
      <c r="R37" s="124"/>
      <c r="S37" s="122"/>
      <c r="T37" s="122"/>
      <c r="U37" s="122"/>
      <c r="V37" s="122"/>
      <c r="W37" s="122">
        <f>H37</f>
        <v>150</v>
      </c>
      <c r="X37" s="122"/>
      <c r="Y37" s="124">
        <f t="shared" si="33"/>
        <v>150</v>
      </c>
      <c r="Z37" s="124">
        <f t="shared" si="19"/>
        <v>0</v>
      </c>
      <c r="AA37" s="123">
        <f t="shared" ref="AA37:AA43" si="46">M37*Y37+O37</f>
        <v>74857500</v>
      </c>
      <c r="AB37" s="286">
        <f>AA37</f>
        <v>74857500</v>
      </c>
      <c r="AC37" s="124">
        <f>L37</f>
        <v>374287500</v>
      </c>
      <c r="AD37" s="121">
        <v>46041</v>
      </c>
      <c r="AE37" s="270">
        <v>46041</v>
      </c>
      <c r="AF37" s="129"/>
      <c r="AG37" s="125">
        <f t="shared" ref="AG37:AG43" si="47">AD37+60</f>
        <v>46101</v>
      </c>
      <c r="AH37" s="125"/>
      <c r="AI37" s="122" t="s">
        <v>69</v>
      </c>
      <c r="AJ37" s="122" t="s">
        <v>183</v>
      </c>
      <c r="AK37" s="127"/>
      <c r="AL37" s="128"/>
      <c r="AM37" s="128"/>
    </row>
    <row r="38" spans="1:39" s="126" customFormat="1" ht="14.25" customHeight="1" x14ac:dyDescent="0.25">
      <c r="A38" s="120">
        <f t="shared" si="21"/>
        <v>25</v>
      </c>
      <c r="B38" s="121">
        <v>45985</v>
      </c>
      <c r="C38" s="120">
        <v>5200991264</v>
      </c>
      <c r="D38" s="122" t="s">
        <v>65</v>
      </c>
      <c r="E38" s="122">
        <f t="shared" si="8"/>
        <v>0</v>
      </c>
      <c r="F38" s="56">
        <f t="shared" si="9"/>
        <v>0</v>
      </c>
      <c r="G38" s="122" t="s">
        <v>114</v>
      </c>
      <c r="H38" s="123">
        <v>150</v>
      </c>
      <c r="I38" s="123"/>
      <c r="J38" s="123">
        <v>4990500</v>
      </c>
      <c r="K38" s="123">
        <f t="shared" ref="K38:K43" si="48">H38*J38</f>
        <v>748575000</v>
      </c>
      <c r="L38" s="123">
        <f t="shared" si="16"/>
        <v>374287500</v>
      </c>
      <c r="M38" s="123">
        <f t="shared" si="44"/>
        <v>499050</v>
      </c>
      <c r="N38" s="124">
        <f t="shared" ref="N38:N41" si="49">(L38*20%)+I38</f>
        <v>74857500</v>
      </c>
      <c r="O38" s="124"/>
      <c r="P38" s="124">
        <f t="shared" si="45"/>
        <v>74857500</v>
      </c>
      <c r="Q38" s="122"/>
      <c r="R38" s="124"/>
      <c r="S38" s="122"/>
      <c r="T38" s="122"/>
      <c r="U38" s="122"/>
      <c r="V38" s="122"/>
      <c r="W38" s="122">
        <f>H38</f>
        <v>150</v>
      </c>
      <c r="X38" s="122"/>
      <c r="Y38" s="124">
        <f t="shared" si="33"/>
        <v>150</v>
      </c>
      <c r="Z38" s="124">
        <f t="shared" si="19"/>
        <v>0</v>
      </c>
      <c r="AA38" s="123">
        <f t="shared" si="46"/>
        <v>74857500</v>
      </c>
      <c r="AB38" s="286">
        <f t="shared" ref="AB38:AB43" si="50">AA38</f>
        <v>74857500</v>
      </c>
      <c r="AC38" s="124">
        <f t="shared" ref="AC38:AC44" si="51">L38</f>
        <v>374287500</v>
      </c>
      <c r="AD38" s="121">
        <v>46041</v>
      </c>
      <c r="AE38" s="270">
        <v>46041</v>
      </c>
      <c r="AF38" s="129"/>
      <c r="AG38" s="125">
        <f t="shared" si="47"/>
        <v>46101</v>
      </c>
      <c r="AH38" s="125"/>
      <c r="AI38" s="122" t="s">
        <v>69</v>
      </c>
      <c r="AJ38" s="122" t="s">
        <v>183</v>
      </c>
      <c r="AK38" s="127"/>
      <c r="AL38" s="128"/>
      <c r="AM38" s="128"/>
    </row>
    <row r="39" spans="1:39" s="126" customFormat="1" ht="14.25" customHeight="1" x14ac:dyDescent="0.25">
      <c r="A39" s="120">
        <f t="shared" si="21"/>
        <v>26</v>
      </c>
      <c r="B39" s="121">
        <v>45986</v>
      </c>
      <c r="C39" s="120">
        <v>5200991456</v>
      </c>
      <c r="D39" s="122" t="s">
        <v>65</v>
      </c>
      <c r="E39" s="122">
        <f t="shared" si="8"/>
        <v>0</v>
      </c>
      <c r="F39" s="56">
        <f t="shared" si="9"/>
        <v>0</v>
      </c>
      <c r="G39" s="122" t="s">
        <v>114</v>
      </c>
      <c r="H39" s="123">
        <v>150</v>
      </c>
      <c r="I39" s="123"/>
      <c r="J39" s="123">
        <v>4990500</v>
      </c>
      <c r="K39" s="123">
        <f t="shared" si="48"/>
        <v>748575000</v>
      </c>
      <c r="L39" s="123">
        <f t="shared" si="16"/>
        <v>374287500</v>
      </c>
      <c r="M39" s="123">
        <f t="shared" si="44"/>
        <v>499050</v>
      </c>
      <c r="N39" s="124">
        <f t="shared" si="49"/>
        <v>74857500</v>
      </c>
      <c r="O39" s="124"/>
      <c r="P39" s="124">
        <f t="shared" si="45"/>
        <v>74857500</v>
      </c>
      <c r="Q39" s="122"/>
      <c r="R39" s="124"/>
      <c r="S39" s="122"/>
      <c r="T39" s="122"/>
      <c r="U39" s="122"/>
      <c r="V39" s="122">
        <f t="shared" ref="V39:V43" si="52">H39</f>
        <v>150</v>
      </c>
      <c r="W39" s="122"/>
      <c r="X39" s="122"/>
      <c r="Y39" s="124">
        <f t="shared" si="3"/>
        <v>150</v>
      </c>
      <c r="Z39" s="124">
        <f t="shared" si="19"/>
        <v>0</v>
      </c>
      <c r="AA39" s="123">
        <f t="shared" si="46"/>
        <v>74857500</v>
      </c>
      <c r="AB39" s="286">
        <f t="shared" si="50"/>
        <v>74857500</v>
      </c>
      <c r="AC39" s="124">
        <f t="shared" si="51"/>
        <v>374287500</v>
      </c>
      <c r="AD39" s="121">
        <v>46036</v>
      </c>
      <c r="AE39" s="270">
        <v>46036</v>
      </c>
      <c r="AF39" s="129"/>
      <c r="AG39" s="125">
        <f t="shared" si="47"/>
        <v>46096</v>
      </c>
      <c r="AH39" s="125"/>
      <c r="AI39" s="122" t="s">
        <v>69</v>
      </c>
      <c r="AJ39" s="122"/>
      <c r="AK39" s="127"/>
      <c r="AL39" s="128"/>
      <c r="AM39" s="128"/>
    </row>
    <row r="40" spans="1:39" s="126" customFormat="1" ht="14.25" customHeight="1" x14ac:dyDescent="0.25">
      <c r="A40" s="120">
        <f t="shared" si="21"/>
        <v>27</v>
      </c>
      <c r="B40" s="121">
        <v>45986</v>
      </c>
      <c r="C40" s="120">
        <v>5200991458</v>
      </c>
      <c r="D40" s="122" t="s">
        <v>65</v>
      </c>
      <c r="E40" s="122">
        <f t="shared" si="8"/>
        <v>0</v>
      </c>
      <c r="F40" s="56">
        <f t="shared" si="9"/>
        <v>0</v>
      </c>
      <c r="G40" s="122" t="s">
        <v>114</v>
      </c>
      <c r="H40" s="123">
        <v>150</v>
      </c>
      <c r="I40" s="123"/>
      <c r="J40" s="123">
        <v>4990500</v>
      </c>
      <c r="K40" s="123">
        <f t="shared" si="48"/>
        <v>748575000</v>
      </c>
      <c r="L40" s="123">
        <f t="shared" si="16"/>
        <v>374287500</v>
      </c>
      <c r="M40" s="123">
        <f t="shared" si="44"/>
        <v>499050</v>
      </c>
      <c r="N40" s="124">
        <f t="shared" si="49"/>
        <v>74857500</v>
      </c>
      <c r="O40" s="124"/>
      <c r="P40" s="124">
        <f t="shared" si="45"/>
        <v>74857500</v>
      </c>
      <c r="Q40" s="122"/>
      <c r="R40" s="124"/>
      <c r="S40" s="122"/>
      <c r="T40" s="122"/>
      <c r="U40" s="122"/>
      <c r="V40" s="122">
        <f t="shared" si="52"/>
        <v>150</v>
      </c>
      <c r="W40" s="122"/>
      <c r="X40" s="122"/>
      <c r="Y40" s="124">
        <f t="shared" si="3"/>
        <v>150</v>
      </c>
      <c r="Z40" s="124">
        <f t="shared" si="19"/>
        <v>0</v>
      </c>
      <c r="AA40" s="123">
        <f t="shared" si="46"/>
        <v>74857500</v>
      </c>
      <c r="AB40" s="286">
        <f t="shared" si="50"/>
        <v>74857500</v>
      </c>
      <c r="AC40" s="124">
        <f t="shared" si="51"/>
        <v>374287500</v>
      </c>
      <c r="AD40" s="121">
        <v>46036</v>
      </c>
      <c r="AE40" s="270">
        <v>46036</v>
      </c>
      <c r="AF40" s="129"/>
      <c r="AG40" s="125">
        <f t="shared" si="47"/>
        <v>46096</v>
      </c>
      <c r="AH40" s="125"/>
      <c r="AI40" s="122" t="s">
        <v>69</v>
      </c>
      <c r="AJ40" s="122"/>
      <c r="AK40" s="127"/>
      <c r="AL40" s="128"/>
      <c r="AM40" s="128"/>
    </row>
    <row r="41" spans="1:39" s="126" customFormat="1" ht="14.25" customHeight="1" x14ac:dyDescent="0.25">
      <c r="A41" s="120">
        <f t="shared" si="21"/>
        <v>28</v>
      </c>
      <c r="B41" s="121">
        <v>45986</v>
      </c>
      <c r="C41" s="120">
        <v>5200991502</v>
      </c>
      <c r="D41" s="122" t="s">
        <v>65</v>
      </c>
      <c r="E41" s="122">
        <f t="shared" si="8"/>
        <v>0</v>
      </c>
      <c r="F41" s="56">
        <f t="shared" si="9"/>
        <v>0</v>
      </c>
      <c r="G41" s="122" t="s">
        <v>114</v>
      </c>
      <c r="H41" s="123">
        <v>150</v>
      </c>
      <c r="I41" s="123"/>
      <c r="J41" s="123">
        <v>4990500</v>
      </c>
      <c r="K41" s="123">
        <f t="shared" si="48"/>
        <v>748575000</v>
      </c>
      <c r="L41" s="123">
        <f t="shared" si="16"/>
        <v>374287500</v>
      </c>
      <c r="M41" s="123">
        <f t="shared" si="44"/>
        <v>499050</v>
      </c>
      <c r="N41" s="124">
        <f t="shared" si="49"/>
        <v>74857500</v>
      </c>
      <c r="O41" s="124"/>
      <c r="P41" s="124">
        <f t="shared" si="45"/>
        <v>74857500</v>
      </c>
      <c r="Q41" s="122"/>
      <c r="R41" s="124"/>
      <c r="S41" s="122"/>
      <c r="T41" s="122"/>
      <c r="U41" s="122"/>
      <c r="V41" s="122">
        <f t="shared" si="52"/>
        <v>150</v>
      </c>
      <c r="W41" s="122"/>
      <c r="X41" s="122"/>
      <c r="Y41" s="124">
        <f t="shared" si="3"/>
        <v>150</v>
      </c>
      <c r="Z41" s="124">
        <f t="shared" si="19"/>
        <v>0</v>
      </c>
      <c r="AA41" s="123">
        <f t="shared" si="46"/>
        <v>74857500</v>
      </c>
      <c r="AB41" s="286">
        <f t="shared" si="50"/>
        <v>74857500</v>
      </c>
      <c r="AC41" s="124">
        <f t="shared" si="51"/>
        <v>374287500</v>
      </c>
      <c r="AD41" s="121">
        <v>46030</v>
      </c>
      <c r="AE41" s="270">
        <v>46030</v>
      </c>
      <c r="AF41" s="129"/>
      <c r="AG41" s="125">
        <f t="shared" si="47"/>
        <v>46090</v>
      </c>
      <c r="AH41" s="125"/>
      <c r="AI41" s="122" t="s">
        <v>69</v>
      </c>
      <c r="AJ41" s="122"/>
      <c r="AK41" s="127"/>
      <c r="AL41" s="128"/>
      <c r="AM41" s="128"/>
    </row>
    <row r="42" spans="1:39" s="126" customFormat="1" x14ac:dyDescent="0.25">
      <c r="A42" s="120">
        <f t="shared" si="21"/>
        <v>29</v>
      </c>
      <c r="B42" s="121">
        <v>45986</v>
      </c>
      <c r="C42" s="120">
        <v>5200991503</v>
      </c>
      <c r="D42" s="122" t="s">
        <v>65</v>
      </c>
      <c r="E42" s="122">
        <f t="shared" si="8"/>
        <v>0</v>
      </c>
      <c r="F42" s="56">
        <f t="shared" si="9"/>
        <v>0</v>
      </c>
      <c r="G42" s="122" t="s">
        <v>114</v>
      </c>
      <c r="H42" s="123">
        <v>150</v>
      </c>
      <c r="I42" s="123"/>
      <c r="J42" s="123">
        <v>4990500</v>
      </c>
      <c r="K42" s="123">
        <f t="shared" si="48"/>
        <v>748575000</v>
      </c>
      <c r="L42" s="123">
        <f t="shared" si="16"/>
        <v>374287500</v>
      </c>
      <c r="M42" s="123">
        <f t="shared" si="44"/>
        <v>499050</v>
      </c>
      <c r="N42" s="124">
        <f>(L42*20%)+I42</f>
        <v>74857500</v>
      </c>
      <c r="O42" s="124"/>
      <c r="P42" s="124">
        <f t="shared" si="45"/>
        <v>74857500</v>
      </c>
      <c r="Q42" s="122"/>
      <c r="R42" s="124"/>
      <c r="S42" s="122"/>
      <c r="T42" s="122"/>
      <c r="U42" s="122"/>
      <c r="V42" s="122">
        <f t="shared" si="52"/>
        <v>150</v>
      </c>
      <c r="W42" s="122"/>
      <c r="X42" s="122"/>
      <c r="Y42" s="124">
        <f t="shared" si="3"/>
        <v>150</v>
      </c>
      <c r="Z42" s="124">
        <f t="shared" si="19"/>
        <v>0</v>
      </c>
      <c r="AA42" s="123">
        <f t="shared" si="46"/>
        <v>74857500</v>
      </c>
      <c r="AB42" s="286">
        <f t="shared" si="50"/>
        <v>74857500</v>
      </c>
      <c r="AC42" s="124">
        <f t="shared" si="51"/>
        <v>374287500</v>
      </c>
      <c r="AD42" s="269">
        <v>46030</v>
      </c>
      <c r="AE42" s="270">
        <v>46030</v>
      </c>
      <c r="AF42" s="129"/>
      <c r="AG42" s="125">
        <f t="shared" si="47"/>
        <v>46090</v>
      </c>
      <c r="AH42" s="125"/>
      <c r="AI42" s="122" t="s">
        <v>69</v>
      </c>
      <c r="AJ42" s="122"/>
      <c r="AK42" s="127"/>
      <c r="AL42" s="128"/>
      <c r="AM42" s="128"/>
    </row>
    <row r="43" spans="1:39" s="126" customFormat="1" x14ac:dyDescent="0.25">
      <c r="A43" s="120">
        <f t="shared" si="21"/>
        <v>30</v>
      </c>
      <c r="B43" s="121">
        <v>46372</v>
      </c>
      <c r="C43" s="120">
        <v>5200991553</v>
      </c>
      <c r="D43" s="122" t="s">
        <v>65</v>
      </c>
      <c r="E43" s="122">
        <f t="shared" si="8"/>
        <v>0</v>
      </c>
      <c r="F43" s="56">
        <f t="shared" si="9"/>
        <v>0</v>
      </c>
      <c r="G43" s="122" t="s">
        <v>114</v>
      </c>
      <c r="H43" s="123">
        <v>50</v>
      </c>
      <c r="I43" s="123"/>
      <c r="J43" s="123">
        <v>4990500</v>
      </c>
      <c r="K43" s="123">
        <f t="shared" si="48"/>
        <v>249525000</v>
      </c>
      <c r="L43" s="123">
        <f t="shared" si="16"/>
        <v>124762500</v>
      </c>
      <c r="M43" s="123">
        <f t="shared" si="44"/>
        <v>499050</v>
      </c>
      <c r="N43" s="124">
        <f>(L43*20%)+I43</f>
        <v>24952500</v>
      </c>
      <c r="O43" s="124"/>
      <c r="P43" s="124">
        <f t="shared" si="45"/>
        <v>24952500</v>
      </c>
      <c r="Q43" s="122"/>
      <c r="R43" s="124"/>
      <c r="S43" s="122"/>
      <c r="T43" s="122"/>
      <c r="U43" s="122"/>
      <c r="V43" s="122">
        <f t="shared" si="52"/>
        <v>50</v>
      </c>
      <c r="W43" s="122"/>
      <c r="X43" s="122"/>
      <c r="Y43" s="124">
        <f t="shared" si="3"/>
        <v>50</v>
      </c>
      <c r="Z43" s="124">
        <f t="shared" si="19"/>
        <v>0</v>
      </c>
      <c r="AA43" s="123">
        <f t="shared" si="46"/>
        <v>24952500</v>
      </c>
      <c r="AB43" s="286">
        <f t="shared" si="50"/>
        <v>24952500</v>
      </c>
      <c r="AC43" s="124">
        <f t="shared" si="51"/>
        <v>124762500</v>
      </c>
      <c r="AD43" s="269">
        <v>46036</v>
      </c>
      <c r="AE43" s="270">
        <v>46036</v>
      </c>
      <c r="AF43" s="129"/>
      <c r="AG43" s="125">
        <f t="shared" si="47"/>
        <v>46096</v>
      </c>
      <c r="AH43" s="125"/>
      <c r="AI43" s="122" t="s">
        <v>69</v>
      </c>
      <c r="AJ43" s="122"/>
      <c r="AK43" s="127"/>
      <c r="AL43" s="128"/>
      <c r="AM43" s="128"/>
    </row>
    <row r="44" spans="1:39" s="126" customFormat="1" ht="14.25" customHeight="1" x14ac:dyDescent="0.25">
      <c r="A44" s="120">
        <f t="shared" si="21"/>
        <v>31</v>
      </c>
      <c r="B44" s="121">
        <v>46021</v>
      </c>
      <c r="C44" s="271">
        <v>5200996833</v>
      </c>
      <c r="D44" s="122" t="s">
        <v>65</v>
      </c>
      <c r="E44" s="122">
        <f t="shared" si="8"/>
        <v>0</v>
      </c>
      <c r="F44" s="56">
        <f t="shared" si="9"/>
        <v>0</v>
      </c>
      <c r="G44" s="122" t="s">
        <v>153</v>
      </c>
      <c r="H44" s="123">
        <v>1</v>
      </c>
      <c r="I44" s="123"/>
      <c r="J44" s="123">
        <v>1188000000</v>
      </c>
      <c r="K44" s="123">
        <v>1188925400</v>
      </c>
      <c r="L44" s="123">
        <f t="shared" si="16"/>
        <v>594462700</v>
      </c>
      <c r="M44" s="123">
        <f t="shared" si="44"/>
        <v>118892540</v>
      </c>
      <c r="N44" s="124">
        <f>(L44*20%)+I44</f>
        <v>118892540</v>
      </c>
      <c r="O44" s="124"/>
      <c r="P44" s="124">
        <f t="shared" si="45"/>
        <v>118892540</v>
      </c>
      <c r="Q44" s="122"/>
      <c r="R44" s="124"/>
      <c r="S44" s="122"/>
      <c r="T44" s="122"/>
      <c r="U44" s="122"/>
      <c r="V44" s="122"/>
      <c r="W44" s="122"/>
      <c r="X44" s="122"/>
      <c r="Y44" s="124">
        <v>0</v>
      </c>
      <c r="Z44" s="124">
        <v>0</v>
      </c>
      <c r="AA44" s="124">
        <v>0</v>
      </c>
      <c r="AB44" s="286">
        <f t="shared" ref="AB44" si="53">N44+O44-AA44</f>
        <v>118892540</v>
      </c>
      <c r="AC44" s="124">
        <f t="shared" si="51"/>
        <v>594462700</v>
      </c>
      <c r="AD44" s="121"/>
      <c r="AE44" s="269"/>
      <c r="AF44" s="129"/>
      <c r="AG44" s="125"/>
      <c r="AH44" s="125"/>
      <c r="AI44" s="122" t="s">
        <v>65</v>
      </c>
      <c r="AJ44" s="122" t="s">
        <v>171</v>
      </c>
      <c r="AK44" s="127"/>
      <c r="AL44" s="128"/>
      <c r="AM44" s="128"/>
    </row>
    <row r="45" spans="1:39" ht="14.25" customHeight="1" x14ac:dyDescent="0.25">
      <c r="A45" s="31"/>
      <c r="B45" s="16"/>
      <c r="C45" s="179"/>
      <c r="D45" s="4"/>
      <c r="E45" s="4"/>
      <c r="F45" s="4"/>
      <c r="G45" s="4"/>
      <c r="H45" s="78"/>
      <c r="I45" s="78"/>
      <c r="J45" s="78"/>
      <c r="K45" s="123"/>
      <c r="L45" s="78"/>
      <c r="M45" s="78"/>
      <c r="N45" s="7"/>
      <c r="O45" s="7"/>
      <c r="P45" s="7"/>
      <c r="Q45" s="4"/>
      <c r="R45" s="7"/>
      <c r="S45" s="4"/>
      <c r="T45" s="4"/>
      <c r="U45" s="4"/>
      <c r="V45" s="4"/>
      <c r="W45" s="4"/>
      <c r="X45" s="4"/>
      <c r="Y45" s="7"/>
      <c r="Z45" s="7"/>
      <c r="AA45" s="7"/>
      <c r="AB45" s="7"/>
      <c r="AC45" s="7"/>
      <c r="AD45" s="16"/>
      <c r="AE45" s="221"/>
      <c r="AF45" s="185"/>
      <c r="AG45" s="27"/>
      <c r="AH45" s="27"/>
      <c r="AI45" s="4"/>
      <c r="AJ45" s="4"/>
      <c r="AK45" s="82"/>
      <c r="AL45" s="2"/>
      <c r="AM45" s="2"/>
    </row>
    <row r="46" spans="1:39" ht="15.75" thickBot="1" x14ac:dyDescent="0.3">
      <c r="A46" s="29"/>
      <c r="B46" s="29"/>
      <c r="G46" s="15"/>
      <c r="H46" s="79"/>
      <c r="I46" s="79"/>
      <c r="J46" s="79"/>
      <c r="K46" s="79"/>
      <c r="L46" s="79"/>
      <c r="M46" s="79"/>
      <c r="N46" s="2"/>
      <c r="O46" s="2"/>
      <c r="P46" s="2"/>
      <c r="R46" s="2"/>
      <c r="Y46" s="2"/>
      <c r="Z46" s="2"/>
      <c r="AA46" s="79"/>
      <c r="AB46" s="2"/>
      <c r="AC46" s="2"/>
      <c r="AD46" s="2"/>
    </row>
    <row r="47" spans="1:39" ht="15.75" thickBot="1" x14ac:dyDescent="0.3">
      <c r="C47" s="32" t="s">
        <v>51</v>
      </c>
      <c r="D47" s="253"/>
      <c r="E47" s="19">
        <f>SUM(E12:E45)</f>
        <v>1677598970</v>
      </c>
      <c r="F47" s="19">
        <f>SUM(F12:F45)</f>
        <v>8286486100</v>
      </c>
      <c r="G47" s="18"/>
      <c r="H47" s="18"/>
      <c r="I47" s="18"/>
      <c r="J47" s="18"/>
      <c r="K47" s="19">
        <f>SUM(K12:K45)</f>
        <v>26270872600</v>
      </c>
      <c r="L47" s="19">
        <f>SUM(L12:L45)</f>
        <v>13135436300</v>
      </c>
      <c r="M47" s="18"/>
      <c r="N47" s="19">
        <f>SUM(N12:N45)</f>
        <v>2620367010</v>
      </c>
      <c r="O47" s="19">
        <f>SUM(O12:O45)</f>
        <v>132522000</v>
      </c>
      <c r="P47" s="19">
        <f>SUM(P12:P45)</f>
        <v>2752889010</v>
      </c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9">
        <f>SUM(AA12:AA45)</f>
        <v>2422996470</v>
      </c>
      <c r="AB47" s="19">
        <f>SUM(AB12:AB45)</f>
        <v>1075290040</v>
      </c>
      <c r="AC47" s="19">
        <f>SUM(AC12:AC45)</f>
        <v>4848950200</v>
      </c>
      <c r="AD47" s="24"/>
    </row>
    <row r="48" spans="1:39" x14ac:dyDescent="0.25">
      <c r="H48" s="9"/>
      <c r="I48" s="9"/>
      <c r="J48" s="9"/>
      <c r="K48" s="9"/>
      <c r="L48" s="9"/>
      <c r="M48" s="248"/>
      <c r="N48" s="9"/>
      <c r="O48" s="9"/>
      <c r="P48" s="248"/>
      <c r="AB48" s="2"/>
      <c r="AC48" s="2"/>
    </row>
    <row r="49" spans="2:29" x14ac:dyDescent="0.25">
      <c r="H49" s="302" t="s">
        <v>36</v>
      </c>
      <c r="I49" s="302"/>
      <c r="J49" s="302" t="s">
        <v>37</v>
      </c>
      <c r="K49" s="302" t="s">
        <v>38</v>
      </c>
      <c r="L49" s="302" t="s">
        <v>39</v>
      </c>
      <c r="M49" s="302" t="s">
        <v>40</v>
      </c>
      <c r="N49" s="302" t="s">
        <v>41</v>
      </c>
      <c r="O49" s="9"/>
      <c r="P49" s="9"/>
    </row>
    <row r="50" spans="2:29" ht="15.75" thickBot="1" x14ac:dyDescent="0.3">
      <c r="H50" s="305" t="s">
        <v>32</v>
      </c>
      <c r="I50" s="306" t="s">
        <v>46</v>
      </c>
      <c r="J50" s="305" t="s">
        <v>8</v>
      </c>
      <c r="K50" s="306" t="s">
        <v>71</v>
      </c>
      <c r="L50" s="306" t="s">
        <v>42</v>
      </c>
      <c r="M50" s="306" t="s">
        <v>133</v>
      </c>
      <c r="N50" s="305" t="s">
        <v>30</v>
      </c>
      <c r="O50" s="33"/>
      <c r="P50" s="33"/>
    </row>
    <row r="51" spans="2:29" x14ac:dyDescent="0.25">
      <c r="B51" s="226" t="s">
        <v>191</v>
      </c>
      <c r="C51" s="227">
        <f>SUM(I66)</f>
        <v>6401698600</v>
      </c>
      <c r="H51" s="222">
        <v>45839</v>
      </c>
      <c r="I51" s="307">
        <f>SUM(L12:L14)</f>
        <v>900000000</v>
      </c>
      <c r="J51" s="307">
        <f>SUM(AA12:AA14)</f>
        <v>180000000</v>
      </c>
      <c r="K51" s="308"/>
      <c r="L51" s="308"/>
      <c r="M51" s="308"/>
      <c r="N51" s="307">
        <f>I51+J51</f>
        <v>1080000000</v>
      </c>
      <c r="O51" s="2"/>
      <c r="P51" s="2"/>
      <c r="AB51" s="2"/>
      <c r="AC51" s="2"/>
    </row>
    <row r="52" spans="2:29" x14ac:dyDescent="0.25">
      <c r="B52" s="228" t="s">
        <v>199</v>
      </c>
      <c r="C52" s="229">
        <f>AC47</f>
        <v>4848950200</v>
      </c>
      <c r="D52" s="29">
        <f>'Summary V.4 (6)'!C62-'Summary V.4 (5)'!C52</f>
        <v>1630082500</v>
      </c>
      <c r="H52" s="222">
        <v>45870</v>
      </c>
      <c r="I52" s="307">
        <f>SUM(L15:L18)</f>
        <v>1125000000</v>
      </c>
      <c r="J52" s="307">
        <f>SUM(AA15:AA18)</f>
        <v>225000000</v>
      </c>
      <c r="K52" s="307"/>
      <c r="L52" s="307">
        <f>SUM(L19:L22)</f>
        <v>1606174500</v>
      </c>
      <c r="M52" s="307"/>
      <c r="N52" s="307">
        <f>N51+I52+J52+K52-L52-M52</f>
        <v>823825500</v>
      </c>
      <c r="O52" s="2"/>
      <c r="P52" s="2"/>
    </row>
    <row r="53" spans="2:29" x14ac:dyDescent="0.25">
      <c r="B53" s="296" t="s">
        <v>200</v>
      </c>
      <c r="C53" s="297">
        <f>C51-C52</f>
        <v>1552748400</v>
      </c>
      <c r="H53" s="222">
        <v>45901</v>
      </c>
      <c r="I53" s="307">
        <v>1426698600</v>
      </c>
      <c r="J53" s="307"/>
      <c r="K53" s="307"/>
      <c r="L53" s="307">
        <f>SUM(L23:L27)</f>
        <v>2250524100</v>
      </c>
      <c r="M53" s="307"/>
      <c r="N53" s="307">
        <f>N52+I53+J53+K53-L53</f>
        <v>0</v>
      </c>
      <c r="O53" s="2"/>
      <c r="P53" s="2"/>
    </row>
    <row r="54" spans="2:29" x14ac:dyDescent="0.25">
      <c r="B54" s="228"/>
      <c r="C54" s="229"/>
      <c r="H54" s="222">
        <v>45931</v>
      </c>
      <c r="I54" s="307"/>
      <c r="J54" s="307"/>
      <c r="K54" s="307"/>
      <c r="L54" s="307">
        <f>L29+L28</f>
        <v>342500000</v>
      </c>
      <c r="M54" s="307"/>
      <c r="N54" s="307">
        <f>N53+I54+J54+K54-L54</f>
        <v>-342500000</v>
      </c>
      <c r="O54" s="2"/>
      <c r="P54" s="2"/>
    </row>
    <row r="55" spans="2:29" x14ac:dyDescent="0.25">
      <c r="B55" s="228" t="s">
        <v>72</v>
      </c>
      <c r="C55" s="229">
        <f>SUM(P12:P44)</f>
        <v>2752889010</v>
      </c>
      <c r="H55" s="222">
        <v>45962</v>
      </c>
      <c r="I55" s="307"/>
      <c r="J55" s="307">
        <f>SUM(P19:P28)</f>
        <v>830880470</v>
      </c>
      <c r="K55" s="307"/>
      <c r="L55" s="307">
        <f>-SUM(L19:L28)+SUM(L30:L42)</f>
        <v>2335313900</v>
      </c>
      <c r="M55" s="307">
        <v>1105000000</v>
      </c>
      <c r="N55" s="307">
        <f>N54+I55+J55+K55-L55-M55</f>
        <v>-2951933430</v>
      </c>
      <c r="O55" s="2"/>
      <c r="P55" s="2"/>
    </row>
    <row r="56" spans="2:29" x14ac:dyDescent="0.25">
      <c r="B56" s="228" t="s">
        <v>201</v>
      </c>
      <c r="C56" s="229">
        <f>M55</f>
        <v>1105000000</v>
      </c>
      <c r="H56" s="185">
        <v>46007</v>
      </c>
      <c r="I56" s="307">
        <v>1300000000</v>
      </c>
      <c r="J56" s="307"/>
      <c r="K56" s="307"/>
      <c r="L56" s="307">
        <f>L43+L44+L45</f>
        <v>719225200</v>
      </c>
      <c r="M56" s="307"/>
      <c r="N56" s="307">
        <f>N55+I56+J56+K56-L56-M56</f>
        <v>-2371158630</v>
      </c>
      <c r="O56" s="2"/>
      <c r="P56" s="2"/>
      <c r="S56" s="1"/>
    </row>
    <row r="57" spans="2:29" x14ac:dyDescent="0.25">
      <c r="B57" s="228" t="s">
        <v>138</v>
      </c>
      <c r="C57" s="229">
        <f>C55-C56</f>
        <v>1647889010</v>
      </c>
      <c r="H57" s="185">
        <v>46014</v>
      </c>
      <c r="I57" s="307">
        <v>250000000</v>
      </c>
      <c r="J57" s="307"/>
      <c r="K57" s="307"/>
      <c r="L57" s="307"/>
      <c r="M57" s="307"/>
      <c r="N57" s="307">
        <f t="shared" ref="N57:N65" si="54">N56+I57+J57+K57-L57-M57</f>
        <v>-2121158630</v>
      </c>
      <c r="O57" s="2"/>
      <c r="P57" s="2"/>
      <c r="S57" s="1"/>
    </row>
    <row r="58" spans="2:29" x14ac:dyDescent="0.25">
      <c r="B58" s="228" t="s">
        <v>202</v>
      </c>
      <c r="C58" s="234">
        <f>SUM(AB29:AB44)</f>
        <v>1075290040</v>
      </c>
      <c r="H58" s="185">
        <v>46015</v>
      </c>
      <c r="I58" s="307">
        <v>250000000</v>
      </c>
      <c r="J58" s="307"/>
      <c r="K58" s="307"/>
      <c r="L58" s="307"/>
      <c r="M58" s="307"/>
      <c r="N58" s="307">
        <f t="shared" si="54"/>
        <v>-1871158630</v>
      </c>
      <c r="O58" s="2"/>
      <c r="P58" s="2"/>
      <c r="S58" s="1"/>
    </row>
    <row r="59" spans="2:29" x14ac:dyDescent="0.25">
      <c r="B59" s="296" t="s">
        <v>203</v>
      </c>
      <c r="C59" s="297">
        <f>C57-C58</f>
        <v>572598970</v>
      </c>
      <c r="D59" s="2"/>
      <c r="H59" s="185">
        <v>46016</v>
      </c>
      <c r="I59" s="307">
        <v>250000000</v>
      </c>
      <c r="J59" s="307"/>
      <c r="K59" s="307"/>
      <c r="L59" s="307"/>
      <c r="M59" s="307"/>
      <c r="N59" s="307">
        <f t="shared" si="54"/>
        <v>-1621158630</v>
      </c>
      <c r="O59" s="2"/>
      <c r="P59" s="2"/>
      <c r="S59" s="1"/>
    </row>
    <row r="60" spans="2:29" x14ac:dyDescent="0.25">
      <c r="B60" s="230" t="s">
        <v>207</v>
      </c>
      <c r="C60" s="231">
        <f>C53+C59</f>
        <v>2125347370</v>
      </c>
      <c r="D60" s="2">
        <f>C60-'Summary V.4 (6)'!C70</f>
        <v>1630082500</v>
      </c>
      <c r="E60" s="2"/>
      <c r="F60" s="2"/>
      <c r="G60" s="2"/>
      <c r="H60" s="185">
        <v>46017</v>
      </c>
      <c r="I60" s="307">
        <v>250000000</v>
      </c>
      <c r="J60" s="307"/>
      <c r="K60" s="307"/>
      <c r="L60" s="307"/>
      <c r="M60" s="307"/>
      <c r="N60" s="307">
        <f t="shared" si="54"/>
        <v>-1371158630</v>
      </c>
      <c r="O60" s="2"/>
      <c r="P60" s="2"/>
      <c r="S60" s="1"/>
    </row>
    <row r="61" spans="2:29" x14ac:dyDescent="0.25">
      <c r="B61" s="228"/>
      <c r="C61" s="229"/>
      <c r="D61" s="254"/>
      <c r="E61" s="2"/>
      <c r="F61" s="2"/>
      <c r="H61" s="185">
        <v>46018</v>
      </c>
      <c r="I61" s="307">
        <v>250000000</v>
      </c>
      <c r="J61" s="307"/>
      <c r="K61" s="307"/>
      <c r="L61" s="307"/>
      <c r="M61" s="307"/>
      <c r="N61" s="307">
        <f t="shared" si="54"/>
        <v>-1121158630</v>
      </c>
      <c r="O61" s="2"/>
      <c r="P61" s="2"/>
      <c r="S61" s="1"/>
    </row>
    <row r="62" spans="2:29" ht="15.75" thickBot="1" x14ac:dyDescent="0.3">
      <c r="B62" s="232"/>
      <c r="C62" s="233"/>
      <c r="D62" s="2"/>
      <c r="E62" s="254"/>
      <c r="F62" s="254"/>
      <c r="H62" s="185">
        <v>46019</v>
      </c>
      <c r="I62" s="307">
        <v>250000000</v>
      </c>
      <c r="J62" s="307"/>
      <c r="K62" s="307"/>
      <c r="L62" s="307"/>
      <c r="M62" s="307"/>
      <c r="N62" s="307">
        <f t="shared" si="54"/>
        <v>-871158630</v>
      </c>
      <c r="O62" s="2"/>
      <c r="P62" s="2"/>
      <c r="S62" s="1"/>
    </row>
    <row r="63" spans="2:29" ht="15.75" thickTop="1" x14ac:dyDescent="0.25">
      <c r="D63" s="24"/>
      <c r="E63" s="24"/>
      <c r="F63" s="24"/>
      <c r="H63" s="185">
        <v>46020</v>
      </c>
      <c r="I63" s="307">
        <v>150000000</v>
      </c>
      <c r="J63" s="307"/>
      <c r="K63" s="307"/>
      <c r="L63" s="307"/>
      <c r="M63" s="307"/>
      <c r="N63" s="307">
        <f>N62+I63+J63+K63-L63-M63</f>
        <v>-721158630</v>
      </c>
      <c r="O63" s="2"/>
      <c r="P63" s="2"/>
      <c r="S63" s="1"/>
    </row>
    <row r="64" spans="2:29" x14ac:dyDescent="0.25">
      <c r="D64" s="2"/>
      <c r="E64" s="2"/>
      <c r="F64" s="2"/>
      <c r="H64" s="185">
        <v>46034</v>
      </c>
      <c r="I64" s="307"/>
      <c r="J64" s="307">
        <f>SUM(P29:P31)</f>
        <v>315118500</v>
      </c>
      <c r="K64" s="307"/>
      <c r="L64" s="307">
        <f>-SUM(L29:L31)</f>
        <v>-1244287500</v>
      </c>
      <c r="M64" s="307"/>
      <c r="N64" s="307">
        <f t="shared" si="54"/>
        <v>838247370</v>
      </c>
      <c r="O64" s="2"/>
      <c r="P64" s="2"/>
      <c r="S64" s="1"/>
    </row>
    <row r="65" spans="2:26" x14ac:dyDescent="0.25">
      <c r="D65" s="24"/>
      <c r="E65" s="24"/>
      <c r="F65" s="24"/>
      <c r="H65" s="185">
        <v>46045</v>
      </c>
      <c r="I65" s="307"/>
      <c r="J65" s="307"/>
      <c r="K65" s="307"/>
      <c r="L65" s="307">
        <f>SUM(L85:L89)</f>
        <v>1166762500</v>
      </c>
      <c r="M65" s="307"/>
      <c r="N65" s="307">
        <f t="shared" si="54"/>
        <v>-328515130</v>
      </c>
      <c r="O65" s="24"/>
      <c r="P65" s="24"/>
      <c r="S65" s="2"/>
    </row>
    <row r="66" spans="2:26" x14ac:dyDescent="0.25">
      <c r="G66" s="2"/>
      <c r="H66" s="309"/>
      <c r="I66" s="310">
        <f>SUM(I51:I65)</f>
        <v>6401698600</v>
      </c>
      <c r="J66" s="310">
        <f>SUM(J51:J65)</f>
        <v>1550998970</v>
      </c>
      <c r="K66" s="310">
        <f t="shared" ref="K66" si="55">SUM(K51:K56)</f>
        <v>0</v>
      </c>
      <c r="L66" s="310">
        <f>SUM(L51:L65)</f>
        <v>7176212700</v>
      </c>
      <c r="M66" s="310">
        <f>SUM(M51:M64)</f>
        <v>1105000000</v>
      </c>
      <c r="N66" s="310">
        <f>I66+J66+K66-L66-M66</f>
        <v>-328515130</v>
      </c>
    </row>
    <row r="67" spans="2:26" x14ac:dyDescent="0.25">
      <c r="H67" s="303"/>
      <c r="I67" s="303"/>
      <c r="J67" s="303"/>
      <c r="K67" s="303"/>
      <c r="L67" s="202"/>
      <c r="M67" s="202"/>
      <c r="N67" s="202"/>
    </row>
    <row r="68" spans="2:26" x14ac:dyDescent="0.25">
      <c r="H68" s="167" t="s">
        <v>47</v>
      </c>
      <c r="I68" s="168">
        <f>I66</f>
        <v>6401698600</v>
      </c>
      <c r="J68" s="167"/>
      <c r="K68" s="168"/>
      <c r="L68" s="304" t="s">
        <v>148</v>
      </c>
      <c r="M68" s="202"/>
      <c r="N68" s="303"/>
      <c r="O68" s="2"/>
    </row>
    <row r="69" spans="2:26" x14ac:dyDescent="0.25">
      <c r="D69" s="1"/>
      <c r="E69" s="1"/>
      <c r="F69" s="1"/>
      <c r="H69" s="167" t="s">
        <v>8</v>
      </c>
      <c r="I69" s="168">
        <f>SUM(P12:P27)</f>
        <v>1235880470</v>
      </c>
      <c r="J69" s="167"/>
      <c r="K69" s="168"/>
      <c r="L69" s="202" t="s">
        <v>149</v>
      </c>
      <c r="M69" s="303">
        <f>I66</f>
        <v>6401698600</v>
      </c>
      <c r="N69" s="303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2:26" x14ac:dyDescent="0.25">
      <c r="E70" s="1"/>
      <c r="F70" s="1"/>
      <c r="H70" s="167" t="s">
        <v>144</v>
      </c>
      <c r="I70" s="168">
        <f>-L66</f>
        <v>-7176212700</v>
      </c>
      <c r="J70" s="167" t="s">
        <v>146</v>
      </c>
      <c r="K70" s="168"/>
      <c r="L70" s="202" t="s">
        <v>8</v>
      </c>
      <c r="M70" s="299">
        <f>J66</f>
        <v>1550998970</v>
      </c>
      <c r="N70" s="29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2:26" x14ac:dyDescent="0.25">
      <c r="D71" s="2"/>
      <c r="E71" s="1"/>
      <c r="F71" s="1"/>
      <c r="H71" s="167" t="s">
        <v>133</v>
      </c>
      <c r="I71" s="168">
        <f>-M55</f>
        <v>-1105000000</v>
      </c>
      <c r="J71" s="167"/>
      <c r="K71" s="168"/>
      <c r="L71" s="202" t="s">
        <v>35</v>
      </c>
      <c r="M71" s="300">
        <f>-M55</f>
        <v>-1105000000</v>
      </c>
      <c r="N71" s="301"/>
      <c r="Y71" s="2"/>
    </row>
    <row r="72" spans="2:26" ht="15.75" thickBot="1" x14ac:dyDescent="0.3">
      <c r="H72" s="200" t="s">
        <v>145</v>
      </c>
      <c r="I72" s="201">
        <f>I68+I69+I70+I71</f>
        <v>-643633630</v>
      </c>
      <c r="J72" s="167"/>
      <c r="K72" s="168"/>
      <c r="L72" s="202" t="s">
        <v>48</v>
      </c>
      <c r="M72" s="300">
        <f>-L66</f>
        <v>-7176212700</v>
      </c>
      <c r="N72" s="303"/>
      <c r="Y72" s="24"/>
    </row>
    <row r="73" spans="2:26" ht="16.5" thickTop="1" thickBot="1" x14ac:dyDescent="0.3">
      <c r="H73" s="202"/>
      <c r="I73" s="202"/>
      <c r="J73" s="202"/>
      <c r="K73" s="190"/>
      <c r="L73" s="205" t="s">
        <v>167</v>
      </c>
      <c r="M73" s="204">
        <f>M69+M70+M71+M72</f>
        <v>-328515130</v>
      </c>
      <c r="N73" s="189"/>
      <c r="Y73" s="2"/>
    </row>
    <row r="74" spans="2:26" ht="15.75" hidden="1" thickTop="1" x14ac:dyDescent="0.25">
      <c r="B74" t="s">
        <v>194</v>
      </c>
      <c r="C74" s="2">
        <f>I66</f>
        <v>6401698600</v>
      </c>
      <c r="D74" s="28"/>
      <c r="E74" s="28"/>
      <c r="F74" s="28"/>
      <c r="H74" s="167" t="s">
        <v>147</v>
      </c>
      <c r="I74" s="168">
        <f>SUM(L29:L42,P29:P42)</f>
        <v>7907676000</v>
      </c>
      <c r="J74" s="167" t="s">
        <v>146</v>
      </c>
      <c r="N74" s="2"/>
      <c r="O74" s="4" t="s">
        <v>5</v>
      </c>
      <c r="Y74" s="2"/>
    </row>
    <row r="75" spans="2:26" ht="15.75" hidden="1" thickTop="1" x14ac:dyDescent="0.25">
      <c r="B75" t="s">
        <v>195</v>
      </c>
      <c r="C75" s="2">
        <f>SUM(L31,L35:L44)</f>
        <v>4954450200</v>
      </c>
      <c r="H75" s="80"/>
      <c r="I75" s="2"/>
      <c r="K75" s="24"/>
      <c r="L75" s="44" t="s">
        <v>166</v>
      </c>
      <c r="M75" s="44" t="s">
        <v>157</v>
      </c>
      <c r="N75" s="77" t="s">
        <v>165</v>
      </c>
      <c r="O75" s="7">
        <f>M76+N76</f>
        <v>2429580000</v>
      </c>
      <c r="Y75" s="24"/>
      <c r="Z75" s="2"/>
    </row>
    <row r="76" spans="2:26" ht="15.75" hidden="1" thickTop="1" x14ac:dyDescent="0.25">
      <c r="B76" t="s">
        <v>196</v>
      </c>
      <c r="C76" s="2">
        <f>C74-C75</f>
        <v>1447248400</v>
      </c>
      <c r="D76" s="28"/>
      <c r="E76" s="28"/>
      <c r="F76" s="28"/>
      <c r="L76" s="222">
        <v>46023</v>
      </c>
      <c r="M76" s="7">
        <f>SUM(AA31,AA39:AA42)</f>
        <v>404930000</v>
      </c>
      <c r="N76" s="7">
        <f>SUM(L31,L39:L42)</f>
        <v>2024650000</v>
      </c>
      <c r="O76" s="7">
        <f>M77+N77</f>
        <v>2702815000</v>
      </c>
    </row>
    <row r="77" spans="2:26" ht="15.75" hidden="1" thickTop="1" x14ac:dyDescent="0.25">
      <c r="I77" s="1">
        <v>130000000</v>
      </c>
      <c r="L77" s="222">
        <v>46054</v>
      </c>
      <c r="M77" s="7">
        <f>SUM(AA33:AA35,AA43)</f>
        <v>362552500</v>
      </c>
      <c r="N77" s="7">
        <f>SUM(L33:L35,L43)</f>
        <v>2340262500</v>
      </c>
      <c r="O77" s="8">
        <f>SUM(O75:O76)</f>
        <v>5132395000</v>
      </c>
    </row>
    <row r="78" spans="2:26" ht="15.75" hidden="1" thickTop="1" x14ac:dyDescent="0.25">
      <c r="L78" s="44" t="s">
        <v>157</v>
      </c>
      <c r="M78" s="8">
        <f>SUM(M76:M77)</f>
        <v>767482500</v>
      </c>
      <c r="N78" s="8">
        <f>SUM(N76:N77)</f>
        <v>4364912500</v>
      </c>
    </row>
    <row r="79" spans="2:26" ht="15.75" hidden="1" thickTop="1" x14ac:dyDescent="0.25">
      <c r="C79" s="28"/>
      <c r="L79" s="224"/>
      <c r="M79" s="225"/>
      <c r="O79" s="7">
        <f>M80+N80</f>
        <v>1973445240</v>
      </c>
    </row>
    <row r="80" spans="2:26" ht="15.75" hidden="1" thickTop="1" x14ac:dyDescent="0.25">
      <c r="L80" s="222" t="s">
        <v>163</v>
      </c>
      <c r="M80" s="223">
        <f>SUM(AB36:AB38,AB44:AB45)</f>
        <v>328907540</v>
      </c>
      <c r="N80" s="223">
        <f>SUM(L36:L38,L44:L45)</f>
        <v>1644537700</v>
      </c>
      <c r="O80" s="8">
        <f>O77+O79</f>
        <v>7105840240</v>
      </c>
    </row>
    <row r="81" spans="1:39" ht="15.75" hidden="1" thickTop="1" x14ac:dyDescent="0.25">
      <c r="C81" s="28"/>
      <c r="L81" s="14" t="s">
        <v>164</v>
      </c>
      <c r="M81" s="8">
        <f>M78+M80</f>
        <v>1096390040</v>
      </c>
      <c r="N81" s="8">
        <f>N78+N80</f>
        <v>6009450200</v>
      </c>
    </row>
    <row r="82" spans="1:39" ht="15.75" thickTop="1" x14ac:dyDescent="0.25">
      <c r="D82" s="1"/>
    </row>
    <row r="83" spans="1:39" x14ac:dyDescent="0.25">
      <c r="B83" t="s">
        <v>206</v>
      </c>
      <c r="D83" s="1"/>
      <c r="O83" s="2"/>
    </row>
    <row r="84" spans="1:39" ht="14.25" customHeight="1" x14ac:dyDescent="0.25">
      <c r="A84" s="31"/>
      <c r="B84" s="16">
        <v>46044</v>
      </c>
      <c r="C84" s="179">
        <v>5201004137</v>
      </c>
      <c r="D84" s="4" t="s">
        <v>65</v>
      </c>
      <c r="E84" s="4"/>
      <c r="F84" s="4"/>
      <c r="G84" s="4" t="s">
        <v>188</v>
      </c>
      <c r="H84" s="78">
        <v>1</v>
      </c>
      <c r="I84" s="78"/>
      <c r="J84" s="78">
        <v>926640000</v>
      </c>
      <c r="K84" s="123">
        <f t="shared" ref="K84:K89" si="56">H84*J84</f>
        <v>926640000</v>
      </c>
      <c r="L84" s="78">
        <f t="shared" ref="L84:L89" si="57">K84*50%</f>
        <v>463320000</v>
      </c>
      <c r="M84" s="78">
        <f>L84*20%</f>
        <v>92664000</v>
      </c>
      <c r="N84" s="7">
        <f>(L84*20%)+I84</f>
        <v>92664000</v>
      </c>
      <c r="O84" s="7"/>
      <c r="P84" s="7">
        <f t="shared" ref="P84:P89" si="58">SUM(N84:O84)</f>
        <v>92664000</v>
      </c>
      <c r="Q84" s="4"/>
      <c r="R84" s="7"/>
      <c r="S84" s="4"/>
      <c r="T84" s="4"/>
      <c r="U84" s="4"/>
      <c r="V84" s="4"/>
      <c r="W84" s="4"/>
      <c r="X84" s="4"/>
      <c r="Y84" s="7">
        <v>0</v>
      </c>
      <c r="Z84" s="7">
        <v>0</v>
      </c>
      <c r="AA84" s="7">
        <v>0</v>
      </c>
      <c r="AB84" s="7">
        <f t="shared" ref="AB84:AB89" si="59">N84+O84-AA84</f>
        <v>92664000</v>
      </c>
      <c r="AC84" s="7">
        <v>594462700</v>
      </c>
      <c r="AD84" s="16"/>
      <c r="AE84" s="221"/>
      <c r="AF84" s="185"/>
      <c r="AG84" s="27"/>
      <c r="AH84" s="27"/>
      <c r="AI84" s="4" t="s">
        <v>65</v>
      </c>
      <c r="AJ84" s="4" t="s">
        <v>171</v>
      </c>
      <c r="AK84" s="82"/>
      <c r="AL84" s="2"/>
      <c r="AM84" s="2"/>
    </row>
    <row r="85" spans="1:39" ht="14.25" customHeight="1" x14ac:dyDescent="0.25">
      <c r="A85" s="31"/>
      <c r="B85" s="16">
        <v>46045</v>
      </c>
      <c r="C85" s="179">
        <v>5201004344</v>
      </c>
      <c r="D85" s="4" t="s">
        <v>65</v>
      </c>
      <c r="E85" s="4"/>
      <c r="F85" s="4"/>
      <c r="G85" s="4" t="s">
        <v>114</v>
      </c>
      <c r="H85" s="78">
        <v>50</v>
      </c>
      <c r="I85" s="78"/>
      <c r="J85" s="78">
        <f>249525000/H85</f>
        <v>4990500</v>
      </c>
      <c r="K85" s="78">
        <f t="shared" si="56"/>
        <v>249525000</v>
      </c>
      <c r="L85" s="78">
        <f t="shared" si="57"/>
        <v>124762500</v>
      </c>
      <c r="M85" s="78">
        <f>(L85/H85)*20%</f>
        <v>499050</v>
      </c>
      <c r="N85" s="7">
        <f>(L85*20%)+I85</f>
        <v>24952500</v>
      </c>
      <c r="O85" s="7"/>
      <c r="P85" s="7">
        <f t="shared" si="58"/>
        <v>24952500</v>
      </c>
      <c r="Q85" s="4"/>
      <c r="R85" s="7"/>
      <c r="S85" s="4"/>
      <c r="T85" s="4"/>
      <c r="U85" s="4"/>
      <c r="V85" s="4"/>
      <c r="W85" s="4"/>
      <c r="X85" s="4"/>
      <c r="Y85" s="7">
        <v>0</v>
      </c>
      <c r="Z85" s="7">
        <v>0</v>
      </c>
      <c r="AA85" s="7">
        <v>0</v>
      </c>
      <c r="AB85" s="7">
        <f t="shared" si="59"/>
        <v>24952500</v>
      </c>
      <c r="AC85" s="7"/>
      <c r="AD85" s="16"/>
      <c r="AE85" s="221"/>
      <c r="AF85" s="185"/>
      <c r="AG85" s="256"/>
      <c r="AH85" s="27"/>
      <c r="AI85" s="4" t="s">
        <v>65</v>
      </c>
      <c r="AJ85" s="4" t="s">
        <v>171</v>
      </c>
      <c r="AK85" s="82"/>
      <c r="AL85" s="2"/>
      <c r="AM85" s="2"/>
    </row>
    <row r="86" spans="1:39" ht="14.25" customHeight="1" x14ac:dyDescent="0.25">
      <c r="A86" s="31"/>
      <c r="B86" s="16">
        <v>46051</v>
      </c>
      <c r="C86" s="179">
        <v>5201005549</v>
      </c>
      <c r="D86" s="4" t="s">
        <v>65</v>
      </c>
      <c r="E86" s="179"/>
      <c r="F86" s="179"/>
      <c r="G86" s="4" t="s">
        <v>45</v>
      </c>
      <c r="H86" s="78">
        <v>2</v>
      </c>
      <c r="I86" s="78"/>
      <c r="J86" s="78">
        <v>225000000</v>
      </c>
      <c r="K86" s="78">
        <f t="shared" si="56"/>
        <v>450000000</v>
      </c>
      <c r="L86" s="78">
        <f t="shared" si="57"/>
        <v>225000000</v>
      </c>
      <c r="M86" s="78">
        <f>(L86/H86)*20%</f>
        <v>22500000</v>
      </c>
      <c r="N86" s="7">
        <f>M86*H86</f>
        <v>45000000</v>
      </c>
      <c r="O86" s="7"/>
      <c r="P86" s="7">
        <f t="shared" si="58"/>
        <v>45000000</v>
      </c>
      <c r="Q86" s="4"/>
      <c r="R86" s="7"/>
      <c r="S86" s="4"/>
      <c r="T86" s="4"/>
      <c r="U86" s="4"/>
      <c r="V86" s="4"/>
      <c r="W86" s="4"/>
      <c r="X86" s="4"/>
      <c r="Y86" s="7">
        <v>0</v>
      </c>
      <c r="Z86" s="7">
        <v>0</v>
      </c>
      <c r="AA86" s="7">
        <v>0</v>
      </c>
      <c r="AB86" s="7">
        <f t="shared" si="59"/>
        <v>45000000</v>
      </c>
      <c r="AC86" s="7"/>
      <c r="AD86" s="16"/>
      <c r="AE86" s="221"/>
      <c r="AF86" s="185"/>
      <c r="AG86" s="256"/>
      <c r="AH86" s="27"/>
      <c r="AI86" s="4"/>
      <c r="AJ86" s="4" t="s">
        <v>171</v>
      </c>
      <c r="AK86" s="82"/>
      <c r="AL86" s="2"/>
      <c r="AM86" s="2"/>
    </row>
    <row r="87" spans="1:39" ht="14.25" customHeight="1" x14ac:dyDescent="0.25">
      <c r="A87" s="31"/>
      <c r="B87" s="16">
        <v>46051</v>
      </c>
      <c r="C87" s="179">
        <v>5201005550</v>
      </c>
      <c r="D87" s="4" t="s">
        <v>65</v>
      </c>
      <c r="E87" s="179"/>
      <c r="F87" s="179"/>
      <c r="G87" s="4" t="s">
        <v>45</v>
      </c>
      <c r="H87" s="78">
        <v>2</v>
      </c>
      <c r="I87" s="78"/>
      <c r="J87" s="78">
        <v>225000000</v>
      </c>
      <c r="K87" s="78">
        <f t="shared" si="56"/>
        <v>450000000</v>
      </c>
      <c r="L87" s="78">
        <f t="shared" si="57"/>
        <v>225000000</v>
      </c>
      <c r="M87" s="78">
        <f>(L87/H87)*20%</f>
        <v>22500000</v>
      </c>
      <c r="N87" s="7">
        <f>M87*H87</f>
        <v>45000000</v>
      </c>
      <c r="O87" s="7"/>
      <c r="P87" s="7">
        <f t="shared" si="58"/>
        <v>45000000</v>
      </c>
      <c r="Q87" s="4"/>
      <c r="R87" s="7"/>
      <c r="S87" s="4"/>
      <c r="T87" s="4"/>
      <c r="U87" s="4"/>
      <c r="V87" s="4"/>
      <c r="W87" s="4"/>
      <c r="X87" s="4"/>
      <c r="Y87" s="7">
        <v>0</v>
      </c>
      <c r="Z87" s="7">
        <v>0</v>
      </c>
      <c r="AA87" s="7">
        <v>0</v>
      </c>
      <c r="AB87" s="7">
        <f t="shared" si="59"/>
        <v>45000000</v>
      </c>
      <c r="AC87" s="7"/>
      <c r="AD87" s="16"/>
      <c r="AE87" s="221"/>
      <c r="AF87" s="185"/>
      <c r="AG87" s="256"/>
      <c r="AH87" s="27"/>
      <c r="AI87" s="4"/>
      <c r="AJ87" s="4" t="s">
        <v>171</v>
      </c>
      <c r="AK87" s="82"/>
      <c r="AL87" s="2"/>
      <c r="AM87" s="2"/>
    </row>
    <row r="88" spans="1:39" ht="14.25" customHeight="1" x14ac:dyDescent="0.25">
      <c r="A88" s="31"/>
      <c r="B88" s="16">
        <v>46051</v>
      </c>
      <c r="C88" s="179">
        <v>5201005551</v>
      </c>
      <c r="D88" s="4" t="s">
        <v>65</v>
      </c>
      <c r="E88" s="179"/>
      <c r="F88" s="179"/>
      <c r="G88" s="4" t="s">
        <v>192</v>
      </c>
      <c r="H88" s="78">
        <v>16</v>
      </c>
      <c r="I88" s="78"/>
      <c r="J88" s="78">
        <v>37000000</v>
      </c>
      <c r="K88" s="78">
        <f t="shared" si="56"/>
        <v>592000000</v>
      </c>
      <c r="L88" s="78">
        <f t="shared" si="57"/>
        <v>296000000</v>
      </c>
      <c r="M88" s="78">
        <f>(L88/H88)*20%</f>
        <v>3700000</v>
      </c>
      <c r="N88" s="7">
        <f>L88*20%</f>
        <v>59200000</v>
      </c>
      <c r="O88" s="7"/>
      <c r="P88" s="7">
        <f t="shared" si="58"/>
        <v>59200000</v>
      </c>
      <c r="Q88" s="4"/>
      <c r="R88" s="7"/>
      <c r="S88" s="4"/>
      <c r="T88" s="4"/>
      <c r="U88" s="4"/>
      <c r="V88" s="4"/>
      <c r="W88" s="4"/>
      <c r="X88" s="4"/>
      <c r="Y88" s="7">
        <v>0</v>
      </c>
      <c r="Z88" s="7">
        <v>0</v>
      </c>
      <c r="AA88" s="7">
        <v>0</v>
      </c>
      <c r="AB88" s="7">
        <f t="shared" si="59"/>
        <v>59200000</v>
      </c>
      <c r="AC88" s="7"/>
      <c r="AD88" s="16"/>
      <c r="AE88" s="221"/>
      <c r="AF88" s="185"/>
      <c r="AG88" s="27"/>
      <c r="AH88" s="27"/>
      <c r="AI88" s="4"/>
      <c r="AJ88" s="4" t="s">
        <v>171</v>
      </c>
      <c r="AK88" s="82"/>
      <c r="AL88" s="2"/>
      <c r="AM88" s="2"/>
    </row>
    <row r="89" spans="1:39" ht="14.25" customHeight="1" x14ac:dyDescent="0.25">
      <c r="A89" s="31"/>
      <c r="B89" s="16">
        <v>46051</v>
      </c>
      <c r="C89" s="179">
        <v>5201005552</v>
      </c>
      <c r="D89" s="4" t="s">
        <v>65</v>
      </c>
      <c r="E89" s="179"/>
      <c r="F89" s="179"/>
      <c r="G89" s="4" t="s">
        <v>193</v>
      </c>
      <c r="H89" s="78">
        <v>16</v>
      </c>
      <c r="I89" s="78"/>
      <c r="J89" s="78">
        <v>37000000</v>
      </c>
      <c r="K89" s="78">
        <f t="shared" si="56"/>
        <v>592000000</v>
      </c>
      <c r="L89" s="78">
        <f t="shared" si="57"/>
        <v>296000000</v>
      </c>
      <c r="M89" s="78">
        <f>(L89/H89)*20%</f>
        <v>3700000</v>
      </c>
      <c r="N89" s="7">
        <f>L89*20%</f>
        <v>59200000</v>
      </c>
      <c r="O89" s="7"/>
      <c r="P89" s="7">
        <f t="shared" si="58"/>
        <v>59200000</v>
      </c>
      <c r="Q89" s="4"/>
      <c r="R89" s="7"/>
      <c r="S89" s="4"/>
      <c r="T89" s="4"/>
      <c r="U89" s="4"/>
      <c r="V89" s="4"/>
      <c r="W89" s="4"/>
      <c r="X89" s="4"/>
      <c r="Y89" s="7">
        <v>0</v>
      </c>
      <c r="Z89" s="7">
        <v>0</v>
      </c>
      <c r="AA89" s="7">
        <v>0</v>
      </c>
      <c r="AB89" s="7">
        <f t="shared" si="59"/>
        <v>59200000</v>
      </c>
      <c r="AC89" s="7"/>
      <c r="AD89" s="16"/>
      <c r="AE89" s="221"/>
      <c r="AF89" s="185"/>
      <c r="AG89" s="27"/>
      <c r="AH89" s="27"/>
      <c r="AI89" s="4"/>
      <c r="AJ89" s="4" t="s">
        <v>171</v>
      </c>
      <c r="AK89" s="82"/>
      <c r="AL89" s="2"/>
      <c r="AM89" s="2"/>
    </row>
  </sheetData>
  <autoFilter ref="A10:AJ45" xr:uid="{0584D897-46E4-45A3-9B3F-2C2CF2DE4EE4}"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35">
    <mergeCell ref="AG10:AG11"/>
    <mergeCell ref="N10:N11"/>
    <mergeCell ref="O10:O11"/>
    <mergeCell ref="P10:P11"/>
    <mergeCell ref="Q10:W10"/>
    <mergeCell ref="Y10:Y11"/>
    <mergeCell ref="Z10:Z11"/>
    <mergeCell ref="AM10:AM11"/>
    <mergeCell ref="AH10:AH11"/>
    <mergeCell ref="AI10:AI11"/>
    <mergeCell ref="AJ10:AJ11"/>
    <mergeCell ref="AK10:AK11"/>
    <mergeCell ref="AL10:AL11"/>
    <mergeCell ref="AB10:AB11"/>
    <mergeCell ref="AD10:AD11"/>
    <mergeCell ref="AE10:AE11"/>
    <mergeCell ref="C31:C32"/>
    <mergeCell ref="A31:A32"/>
    <mergeCell ref="B31:B32"/>
    <mergeCell ref="AF10:AF11"/>
    <mergeCell ref="M10:M11"/>
    <mergeCell ref="A10:A11"/>
    <mergeCell ref="B10:B11"/>
    <mergeCell ref="C10:C11"/>
    <mergeCell ref="D10:D11"/>
    <mergeCell ref="E10:E11"/>
    <mergeCell ref="G10:G11"/>
    <mergeCell ref="F10:F11"/>
    <mergeCell ref="H10:H11"/>
    <mergeCell ref="I10:I11"/>
    <mergeCell ref="J10:J11"/>
    <mergeCell ref="K10:K11"/>
    <mergeCell ref="L10:L11"/>
    <mergeCell ref="AC10:AC11"/>
    <mergeCell ref="AA10:AA11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B375-D296-48DE-B8E7-8711784C0F29}">
  <sheetPr>
    <tabColor rgb="FF00B050"/>
  </sheetPr>
  <dimension ref="A1:AM87"/>
  <sheetViews>
    <sheetView showGridLines="0" topLeftCell="A10" zoomScale="85" zoomScaleNormal="85" workbookViewId="0">
      <pane xSplit="5" ySplit="2" topLeftCell="F60" activePane="bottomRight" state="frozen"/>
      <selection activeCell="E37" sqref="E37"/>
      <selection pane="topRight" activeCell="E37" sqref="E37"/>
      <selection pane="bottomLeft" activeCell="E37" sqref="E37"/>
      <selection pane="bottomRight" activeCell="E37" sqref="E37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5" width="16.140625" style="29" customWidth="1"/>
    <col min="6" max="6" width="38.140625" bestFit="1" customWidth="1"/>
    <col min="7" max="7" width="20.7109375" bestFit="1" customWidth="1"/>
    <col min="8" max="8" width="27.7109375" bestFit="1" customWidth="1"/>
    <col min="9" max="9" width="22.85546875" customWidth="1"/>
    <col min="10" max="10" width="22.85546875" bestFit="1" customWidth="1"/>
    <col min="11" max="12" width="24.85546875" bestFit="1" customWidth="1"/>
    <col min="13" max="13" width="26.7109375" customWidth="1"/>
    <col min="14" max="14" width="21.140625" bestFit="1" customWidth="1"/>
    <col min="15" max="15" width="20.7109375" bestFit="1" customWidth="1"/>
    <col min="16" max="16" width="3.7109375" hidden="1" customWidth="1" outlineLevel="1"/>
    <col min="17" max="17" width="4.5703125" hidden="1" customWidth="1" outlineLevel="1"/>
    <col min="18" max="18" width="14.28515625" hidden="1" customWidth="1" outlineLevel="1"/>
    <col min="19" max="19" width="4" hidden="1" customWidth="1" outlineLevel="1"/>
    <col min="20" max="20" width="4.5703125" hidden="1" customWidth="1" outlineLevel="1"/>
    <col min="21" max="21" width="5.5703125" hidden="1" customWidth="1" outlineLevel="1"/>
    <col min="22" max="22" width="4.5703125" hidden="1" customWidth="1" outlineLevel="1"/>
    <col min="23" max="23" width="29.85546875" hidden="1" customWidth="1" outlineLevel="1"/>
    <col min="24" max="24" width="13.85546875" bestFit="1" customWidth="1" collapsed="1"/>
    <col min="25" max="25" width="13.42578125" customWidth="1"/>
    <col min="26" max="26" width="21.140625" bestFit="1" customWidth="1"/>
    <col min="27" max="27" width="19.140625" bestFit="1" customWidth="1"/>
    <col min="28" max="28" width="12.42578125" customWidth="1"/>
    <col min="29" max="29" width="11.85546875" customWidth="1"/>
    <col min="30" max="32" width="14.42578125" customWidth="1"/>
    <col min="33" max="33" width="16.7109375" hidden="1" customWidth="1"/>
    <col min="34" max="34" width="24.85546875" bestFit="1" customWidth="1"/>
    <col min="35" max="35" width="24.5703125" customWidth="1"/>
    <col min="36" max="37" width="12.5703125" hidden="1" customWidth="1"/>
    <col min="38" max="38" width="11.5703125" hidden="1" customWidth="1"/>
  </cols>
  <sheetData>
    <row r="1" spans="1:38" ht="15.75" x14ac:dyDescent="0.25">
      <c r="C1" s="47" t="s">
        <v>33</v>
      </c>
      <c r="D1" s="47"/>
      <c r="E1" s="47"/>
    </row>
    <row r="2" spans="1:38" ht="9.75" customHeight="1" x14ac:dyDescent="0.25">
      <c r="C2" s="28"/>
      <c r="D2" s="28"/>
      <c r="E2" s="28"/>
    </row>
    <row r="3" spans="1:38" x14ac:dyDescent="0.25">
      <c r="C3" s="45"/>
      <c r="D3" s="249"/>
      <c r="E3" s="249"/>
    </row>
    <row r="4" spans="1:38" x14ac:dyDescent="0.25">
      <c r="C4" s="46"/>
      <c r="D4" s="250"/>
      <c r="E4" s="250"/>
    </row>
    <row r="5" spans="1:38" x14ac:dyDescent="0.25">
      <c r="C5" s="43"/>
      <c r="D5" s="251"/>
      <c r="E5" s="251"/>
    </row>
    <row r="6" spans="1:38" x14ac:dyDescent="0.25">
      <c r="C6" s="44"/>
      <c r="D6" s="28"/>
      <c r="E6" s="28"/>
    </row>
    <row r="7" spans="1:38" x14ac:dyDescent="0.25">
      <c r="C7" s="122"/>
      <c r="D7" s="126"/>
      <c r="E7" s="126"/>
      <c r="G7">
        <f>Detail!E2</f>
        <v>4</v>
      </c>
      <c r="I7">
        <f>Detail!F2</f>
        <v>5</v>
      </c>
      <c r="J7">
        <f>Detail!G2</f>
        <v>6</v>
      </c>
      <c r="K7">
        <f>Detail!H2</f>
        <v>7</v>
      </c>
      <c r="M7">
        <f>Detail!I2</f>
        <v>8</v>
      </c>
    </row>
    <row r="8" spans="1:38" x14ac:dyDescent="0.25">
      <c r="C8" s="149"/>
      <c r="D8" s="252"/>
      <c r="E8" s="252"/>
    </row>
    <row r="10" spans="1:38" ht="15" customHeight="1" x14ac:dyDescent="0.25">
      <c r="A10" s="321" t="s">
        <v>78</v>
      </c>
      <c r="B10" s="320" t="s">
        <v>22</v>
      </c>
      <c r="C10" s="321" t="s">
        <v>1</v>
      </c>
      <c r="D10" s="325" t="s">
        <v>62</v>
      </c>
      <c r="E10" s="325" t="s">
        <v>190</v>
      </c>
      <c r="F10" s="322" t="s">
        <v>55</v>
      </c>
      <c r="G10" s="320" t="str">
        <f>Detail!E3</f>
        <v>Qty</v>
      </c>
      <c r="H10" s="324" t="s">
        <v>59</v>
      </c>
      <c r="I10" s="320" t="str">
        <f>Detail!F3</f>
        <v>Harga</v>
      </c>
      <c r="J10" s="320" t="s">
        <v>29</v>
      </c>
      <c r="K10" s="320" t="s">
        <v>7</v>
      </c>
      <c r="L10" s="320" t="s">
        <v>28</v>
      </c>
      <c r="M10" s="320" t="str">
        <f>Detail!I3</f>
        <v>Margin</v>
      </c>
      <c r="N10" s="320" t="s">
        <v>19</v>
      </c>
      <c r="O10" s="324" t="s">
        <v>67</v>
      </c>
      <c r="P10" s="336" t="s">
        <v>23</v>
      </c>
      <c r="Q10" s="337"/>
      <c r="R10" s="337"/>
      <c r="S10" s="337"/>
      <c r="T10" s="337"/>
      <c r="U10" s="337"/>
      <c r="V10" s="338"/>
      <c r="W10" s="25"/>
      <c r="X10" s="328" t="s">
        <v>52</v>
      </c>
      <c r="Y10" s="328" t="s">
        <v>34</v>
      </c>
      <c r="Z10" s="331" t="s">
        <v>8</v>
      </c>
      <c r="AA10" s="328" t="s">
        <v>31</v>
      </c>
      <c r="AB10" s="333" t="s">
        <v>54</v>
      </c>
      <c r="AC10" s="331" t="s">
        <v>53</v>
      </c>
      <c r="AD10" s="333" t="s">
        <v>159</v>
      </c>
      <c r="AE10" s="333" t="s">
        <v>182</v>
      </c>
      <c r="AF10" s="333" t="s">
        <v>169</v>
      </c>
      <c r="AG10" s="325" t="s">
        <v>62</v>
      </c>
      <c r="AH10" s="325" t="s">
        <v>66</v>
      </c>
      <c r="AI10" s="325" t="s">
        <v>66</v>
      </c>
      <c r="AJ10" s="320" t="s">
        <v>109</v>
      </c>
      <c r="AK10" s="335" t="s">
        <v>127</v>
      </c>
      <c r="AL10" s="320" t="s">
        <v>110</v>
      </c>
    </row>
    <row r="11" spans="1:38" ht="29.25" customHeight="1" x14ac:dyDescent="0.25">
      <c r="A11" s="321"/>
      <c r="B11" s="320"/>
      <c r="C11" s="321"/>
      <c r="D11" s="325"/>
      <c r="E11" s="325"/>
      <c r="F11" s="323"/>
      <c r="G11" s="320"/>
      <c r="H11" s="323"/>
      <c r="I11" s="320"/>
      <c r="J11" s="320"/>
      <c r="K11" s="320"/>
      <c r="L11" s="320"/>
      <c r="M11" s="320"/>
      <c r="N11" s="320"/>
      <c r="O11" s="326"/>
      <c r="P11" s="3" t="s">
        <v>20</v>
      </c>
      <c r="Q11" s="3" t="s">
        <v>21</v>
      </c>
      <c r="R11" s="3" t="s">
        <v>24</v>
      </c>
      <c r="S11" s="3" t="s">
        <v>25</v>
      </c>
      <c r="T11" s="3" t="s">
        <v>26</v>
      </c>
      <c r="U11" s="3" t="s">
        <v>27</v>
      </c>
      <c r="V11" s="3" t="s">
        <v>158</v>
      </c>
      <c r="W11" s="26" t="s">
        <v>57</v>
      </c>
      <c r="X11" s="329"/>
      <c r="Y11" s="330"/>
      <c r="Z11" s="332"/>
      <c r="AA11" s="330"/>
      <c r="AB11" s="334"/>
      <c r="AC11" s="332"/>
      <c r="AD11" s="334"/>
      <c r="AE11" s="334"/>
      <c r="AF11" s="334"/>
      <c r="AG11" s="325"/>
      <c r="AH11" s="325" t="s">
        <v>66</v>
      </c>
      <c r="AI11" s="325" t="s">
        <v>66</v>
      </c>
      <c r="AJ11" s="320"/>
      <c r="AK11" s="335"/>
      <c r="AL11" s="320"/>
    </row>
    <row r="12" spans="1:38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O12+K12</f>
        <v>270000000</v>
      </c>
      <c r="F12" s="53" t="s">
        <v>3</v>
      </c>
      <c r="G12" s="55">
        <f>SUMIF(Detail!$B$4:$B$21,'Summary V.4 (4)'!$C12,Detail!$E$4:$E$21)</f>
        <v>2</v>
      </c>
      <c r="H12" s="55"/>
      <c r="I12" s="55">
        <f>VLOOKUP($C12,Detail!$B$4:$Q$21,5,0)</f>
        <v>225000000</v>
      </c>
      <c r="J12" s="55">
        <f t="shared" ref="J12:J29" si="0">G12*I12</f>
        <v>450000000</v>
      </c>
      <c r="K12" s="55">
        <f>SUMIF(Detail!$B$4:$B$21,'Summary V.4 (4)'!C12,Detail!$H$4:$H$21)</f>
        <v>225000000</v>
      </c>
      <c r="L12" s="55">
        <f t="shared" ref="L12:L20" si="1">(K12*20%)/G12</f>
        <v>22500000</v>
      </c>
      <c r="M12" s="56">
        <f t="shared" ref="M12:M20" si="2">K12*20%</f>
        <v>45000000</v>
      </c>
      <c r="N12" s="56"/>
      <c r="O12" s="56">
        <f>SUM(M12:N12)</f>
        <v>45000000</v>
      </c>
      <c r="P12" s="56">
        <f>G12</f>
        <v>2</v>
      </c>
      <c r="Q12" s="53"/>
      <c r="R12" s="53"/>
      <c r="S12" s="53"/>
      <c r="T12" s="53"/>
      <c r="U12" s="53"/>
      <c r="V12" s="53"/>
      <c r="W12" s="53"/>
      <c r="X12" s="56">
        <f t="shared" ref="X12:X42" si="3">SUM(P12:U12)</f>
        <v>2</v>
      </c>
      <c r="Y12" s="56">
        <f t="shared" ref="Y12:Y27" si="4">G12-X12</f>
        <v>0</v>
      </c>
      <c r="Z12" s="55">
        <f t="shared" ref="Z12:Z26" si="5">L12*X12</f>
        <v>45000000</v>
      </c>
      <c r="AA12" s="56">
        <f t="shared" ref="AA12:AA26" si="6">M12-Z12</f>
        <v>0</v>
      </c>
      <c r="AB12" s="60">
        <v>45861</v>
      </c>
      <c r="AC12" s="60">
        <v>45863</v>
      </c>
      <c r="AD12" s="58">
        <v>45894</v>
      </c>
      <c r="AE12" s="58"/>
      <c r="AF12" s="58"/>
      <c r="AG12" s="53" t="s">
        <v>63</v>
      </c>
      <c r="AH12" s="53"/>
      <c r="AI12" s="53"/>
      <c r="AJ12" s="183">
        <f>VLOOKUP(C12,investasi!$B$5:$G$18,6,0)</f>
        <v>45000000</v>
      </c>
      <c r="AK12" s="184">
        <f t="shared" ref="AK12:AK27" si="7">O12</f>
        <v>45000000</v>
      </c>
      <c r="AL12" s="184">
        <f>AJ12-AK12</f>
        <v>0</v>
      </c>
    </row>
    <row r="13" spans="1:38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31" si="8">O13+K13</f>
        <v>405000000</v>
      </c>
      <c r="F13" s="53" t="s">
        <v>3</v>
      </c>
      <c r="G13" s="55">
        <f>SUMIF(Detail!$B$4:$B$21,'Summary V.4 (4)'!$C13,Detail!$E$4:$E$21)</f>
        <v>3</v>
      </c>
      <c r="H13" s="55"/>
      <c r="I13" s="55">
        <f>VLOOKUP($C13,Detail!$B$4:$Q$21,5,0)</f>
        <v>225000000</v>
      </c>
      <c r="J13" s="55">
        <f t="shared" si="0"/>
        <v>675000000</v>
      </c>
      <c r="K13" s="55">
        <f>SUMIF(Detail!$B$4:$B$21,'Summary V.4 (4)'!C13,Detail!$H$4:$H$21)</f>
        <v>337500000</v>
      </c>
      <c r="L13" s="55">
        <f t="shared" si="1"/>
        <v>22500000</v>
      </c>
      <c r="M13" s="56">
        <f t="shared" si="2"/>
        <v>67500000</v>
      </c>
      <c r="N13" s="56"/>
      <c r="O13" s="56">
        <f t="shared" ref="O13:O18" si="9">SUM(M13:N13)</f>
        <v>67500000</v>
      </c>
      <c r="P13" s="56">
        <f>G13</f>
        <v>3</v>
      </c>
      <c r="Q13" s="53"/>
      <c r="R13" s="53"/>
      <c r="S13" s="53"/>
      <c r="T13" s="53"/>
      <c r="U13" s="53"/>
      <c r="V13" s="53"/>
      <c r="W13" s="53"/>
      <c r="X13" s="56">
        <f t="shared" si="3"/>
        <v>3</v>
      </c>
      <c r="Y13" s="56">
        <f t="shared" si="4"/>
        <v>0</v>
      </c>
      <c r="Z13" s="55">
        <f t="shared" si="5"/>
        <v>67500000</v>
      </c>
      <c r="AA13" s="56">
        <f t="shared" si="6"/>
        <v>0</v>
      </c>
      <c r="AB13" s="60">
        <v>45861</v>
      </c>
      <c r="AC13" s="60">
        <v>45863</v>
      </c>
      <c r="AD13" s="58">
        <v>45894</v>
      </c>
      <c r="AE13" s="58"/>
      <c r="AF13" s="58"/>
      <c r="AG13" s="53" t="s">
        <v>63</v>
      </c>
      <c r="AH13" s="53"/>
      <c r="AI13" s="53"/>
      <c r="AJ13" s="183">
        <f>VLOOKUP(C13,investasi!$B$5:$G$18,6,0)</f>
        <v>67500000</v>
      </c>
      <c r="AK13" s="184">
        <f t="shared" si="7"/>
        <v>67500000</v>
      </c>
      <c r="AL13" s="184">
        <f t="shared" ref="AL13:AL29" si="10">AJ13-AK13</f>
        <v>0</v>
      </c>
    </row>
    <row r="14" spans="1:38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405000000</v>
      </c>
      <c r="F14" s="53" t="s">
        <v>3</v>
      </c>
      <c r="G14" s="55">
        <f>SUMIF(Detail!$B$4:$B$21,'Summary V.4 (4)'!$C14,Detail!$E$4:$E$21)</f>
        <v>3</v>
      </c>
      <c r="H14" s="55"/>
      <c r="I14" s="55">
        <f>VLOOKUP($C14,Detail!$B$4:$Q$21,5,0)</f>
        <v>225000000</v>
      </c>
      <c r="J14" s="55">
        <f t="shared" si="0"/>
        <v>675000000</v>
      </c>
      <c r="K14" s="55">
        <f>SUMIF(Detail!$B$4:$B$21,'Summary V.4 (4)'!C14,Detail!$H$4:$H$21)</f>
        <v>337500000</v>
      </c>
      <c r="L14" s="55">
        <f t="shared" si="1"/>
        <v>22500000</v>
      </c>
      <c r="M14" s="56">
        <f t="shared" si="2"/>
        <v>67500000</v>
      </c>
      <c r="N14" s="56"/>
      <c r="O14" s="56">
        <f t="shared" si="9"/>
        <v>67500000</v>
      </c>
      <c r="P14" s="56">
        <f>G14</f>
        <v>3</v>
      </c>
      <c r="Q14" s="53"/>
      <c r="R14" s="53"/>
      <c r="S14" s="53"/>
      <c r="T14" s="53"/>
      <c r="U14" s="53"/>
      <c r="V14" s="53"/>
      <c r="W14" s="53"/>
      <c r="X14" s="56">
        <f t="shared" si="3"/>
        <v>3</v>
      </c>
      <c r="Y14" s="56">
        <f t="shared" si="4"/>
        <v>0</v>
      </c>
      <c r="Z14" s="55">
        <f t="shared" si="5"/>
        <v>67500000</v>
      </c>
      <c r="AA14" s="56">
        <f t="shared" si="6"/>
        <v>0</v>
      </c>
      <c r="AB14" s="60">
        <v>45861</v>
      </c>
      <c r="AC14" s="60">
        <v>45863</v>
      </c>
      <c r="AD14" s="58">
        <v>45894</v>
      </c>
      <c r="AE14" s="58"/>
      <c r="AF14" s="58"/>
      <c r="AG14" s="53" t="s">
        <v>63</v>
      </c>
      <c r="AH14" s="53"/>
      <c r="AI14" s="53"/>
      <c r="AJ14" s="183">
        <f>VLOOKUP(C14,investasi!$B$5:$G$18,6,0)</f>
        <v>67500000</v>
      </c>
      <c r="AK14" s="184">
        <f t="shared" si="7"/>
        <v>67500000</v>
      </c>
      <c r="AL14" s="184">
        <f t="shared" si="10"/>
        <v>0</v>
      </c>
    </row>
    <row r="15" spans="1:38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405000000</v>
      </c>
      <c r="F15" s="53" t="s">
        <v>3</v>
      </c>
      <c r="G15" s="55">
        <f>SUMIF(Detail!$B$4:$B$21,'Summary V.4 (4)'!$C15,Detail!$E$4:$E$21)</f>
        <v>3</v>
      </c>
      <c r="H15" s="55"/>
      <c r="I15" s="55">
        <f>VLOOKUP($C15,Detail!$B$4:$Q$21,5,0)</f>
        <v>225000000</v>
      </c>
      <c r="J15" s="55">
        <f t="shared" si="0"/>
        <v>675000000</v>
      </c>
      <c r="K15" s="55">
        <f>SUMIF(Detail!$B$4:$B$21,'Summary V.4 (4)'!C15,Detail!$H$4:$H$21)</f>
        <v>337500000</v>
      </c>
      <c r="L15" s="55">
        <f t="shared" si="1"/>
        <v>22500000</v>
      </c>
      <c r="M15" s="56">
        <f t="shared" si="2"/>
        <v>67500000</v>
      </c>
      <c r="N15" s="56"/>
      <c r="O15" s="56">
        <f t="shared" si="9"/>
        <v>67500000</v>
      </c>
      <c r="P15" s="53"/>
      <c r="Q15" s="56">
        <f>G15</f>
        <v>3</v>
      </c>
      <c r="R15" s="53"/>
      <c r="S15" s="53"/>
      <c r="T15" s="53"/>
      <c r="U15" s="53"/>
      <c r="V15" s="53"/>
      <c r="W15" s="53"/>
      <c r="X15" s="56">
        <f t="shared" si="3"/>
        <v>3</v>
      </c>
      <c r="Y15" s="56">
        <f t="shared" si="4"/>
        <v>0</v>
      </c>
      <c r="Z15" s="55">
        <f t="shared" si="5"/>
        <v>67500000</v>
      </c>
      <c r="AA15" s="56">
        <f t="shared" si="6"/>
        <v>0</v>
      </c>
      <c r="AB15" s="60">
        <v>45868</v>
      </c>
      <c r="AC15" s="60">
        <v>45873</v>
      </c>
      <c r="AD15" s="58">
        <v>45904</v>
      </c>
      <c r="AE15" s="58"/>
      <c r="AF15" s="58"/>
      <c r="AG15" s="53" t="s">
        <v>63</v>
      </c>
      <c r="AH15" s="53"/>
      <c r="AI15" s="53"/>
      <c r="AJ15" s="183">
        <f>VLOOKUP(C15,investasi!$B$5:$G$18,6,0)</f>
        <v>67500000</v>
      </c>
      <c r="AK15" s="184">
        <f t="shared" si="7"/>
        <v>67500000</v>
      </c>
      <c r="AL15" s="184">
        <f t="shared" si="10"/>
        <v>0</v>
      </c>
    </row>
    <row r="16" spans="1:38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405000000</v>
      </c>
      <c r="F16" s="53" t="s">
        <v>3</v>
      </c>
      <c r="G16" s="55">
        <f>SUMIF(Detail!$B$4:$B$21,'Summary V.4 (4)'!$C16,Detail!$E$4:$E$21)</f>
        <v>3</v>
      </c>
      <c r="H16" s="55"/>
      <c r="I16" s="55">
        <f>VLOOKUP($C16,Detail!$B$4:$Q$21,5,0)</f>
        <v>225000000</v>
      </c>
      <c r="J16" s="55">
        <f t="shared" si="0"/>
        <v>675000000</v>
      </c>
      <c r="K16" s="55">
        <f>SUMIF(Detail!$B$4:$B$21,'Summary V.4 (4)'!C16,Detail!$H$4:$H$21)</f>
        <v>337500000</v>
      </c>
      <c r="L16" s="55">
        <f t="shared" si="1"/>
        <v>22500000</v>
      </c>
      <c r="M16" s="56">
        <f t="shared" si="2"/>
        <v>67500000</v>
      </c>
      <c r="N16" s="56"/>
      <c r="O16" s="56">
        <f t="shared" si="9"/>
        <v>67500000</v>
      </c>
      <c r="P16" s="53"/>
      <c r="Q16" s="56">
        <f>G16</f>
        <v>3</v>
      </c>
      <c r="R16" s="53"/>
      <c r="S16" s="53"/>
      <c r="T16" s="53"/>
      <c r="U16" s="53"/>
      <c r="V16" s="53"/>
      <c r="W16" s="53"/>
      <c r="X16" s="56">
        <f t="shared" si="3"/>
        <v>3</v>
      </c>
      <c r="Y16" s="56">
        <f t="shared" si="4"/>
        <v>0</v>
      </c>
      <c r="Z16" s="55">
        <f t="shared" si="5"/>
        <v>67500000</v>
      </c>
      <c r="AA16" s="56">
        <f t="shared" si="6"/>
        <v>0</v>
      </c>
      <c r="AB16" s="60">
        <v>45868</v>
      </c>
      <c r="AC16" s="60">
        <v>45873</v>
      </c>
      <c r="AD16" s="58">
        <v>45904</v>
      </c>
      <c r="AE16" s="58"/>
      <c r="AF16" s="58"/>
      <c r="AG16" s="53" t="s">
        <v>63</v>
      </c>
      <c r="AH16" s="53"/>
      <c r="AI16" s="53"/>
      <c r="AJ16" s="183">
        <f>VLOOKUP(C16,investasi!$B$5:$G$18,6,0)</f>
        <v>67500000</v>
      </c>
      <c r="AK16" s="184">
        <f t="shared" si="7"/>
        <v>67500000</v>
      </c>
      <c r="AL16" s="184">
        <f t="shared" si="10"/>
        <v>0</v>
      </c>
    </row>
    <row r="17" spans="1:39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270000000</v>
      </c>
      <c r="F17" s="53" t="s">
        <v>3</v>
      </c>
      <c r="G17" s="55">
        <f>SUMIF(Detail!$B$4:$B$21,'Summary V.4 (4)'!$C17,Detail!$E$4:$E$21)</f>
        <v>2</v>
      </c>
      <c r="H17" s="55"/>
      <c r="I17" s="55">
        <f>VLOOKUP($C17,Detail!$B$4:$Q$21,5,0)</f>
        <v>225000000</v>
      </c>
      <c r="J17" s="55">
        <f t="shared" si="0"/>
        <v>450000000</v>
      </c>
      <c r="K17" s="55">
        <f>SUMIF(Detail!$B$4:$B$21,'Summary V.4 (4)'!C17,Detail!$H$4:$H$21)</f>
        <v>225000000</v>
      </c>
      <c r="L17" s="55">
        <f t="shared" si="1"/>
        <v>22500000</v>
      </c>
      <c r="M17" s="56">
        <f t="shared" si="2"/>
        <v>45000000</v>
      </c>
      <c r="N17" s="56"/>
      <c r="O17" s="56">
        <f t="shared" si="9"/>
        <v>45000000</v>
      </c>
      <c r="P17" s="53"/>
      <c r="Q17" s="56">
        <f>G17</f>
        <v>2</v>
      </c>
      <c r="R17" s="53"/>
      <c r="S17" s="53"/>
      <c r="T17" s="53"/>
      <c r="U17" s="53"/>
      <c r="V17" s="53"/>
      <c r="W17" s="53"/>
      <c r="X17" s="56">
        <f t="shared" si="3"/>
        <v>2</v>
      </c>
      <c r="Y17" s="56">
        <f t="shared" si="4"/>
        <v>0</v>
      </c>
      <c r="Z17" s="55">
        <f t="shared" si="5"/>
        <v>45000000</v>
      </c>
      <c r="AA17" s="56">
        <f t="shared" si="6"/>
        <v>0</v>
      </c>
      <c r="AB17" s="60">
        <v>45868</v>
      </c>
      <c r="AC17" s="60">
        <v>45873</v>
      </c>
      <c r="AD17" s="58">
        <v>45904</v>
      </c>
      <c r="AE17" s="58"/>
      <c r="AF17" s="58"/>
      <c r="AG17" s="53" t="s">
        <v>63</v>
      </c>
      <c r="AH17" s="53"/>
      <c r="AI17" s="53"/>
      <c r="AJ17" s="183">
        <f>VLOOKUP(C17,investasi!$B$5:$G$18,6,0)</f>
        <v>45000000</v>
      </c>
      <c r="AK17" s="184">
        <f t="shared" si="7"/>
        <v>45000000</v>
      </c>
      <c r="AL17" s="184">
        <f t="shared" si="10"/>
        <v>0</v>
      </c>
    </row>
    <row r="18" spans="1:39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270000000</v>
      </c>
      <c r="F18" s="53" t="s">
        <v>3</v>
      </c>
      <c r="G18" s="55">
        <f>SUMIF(Detail!$B$4:$B$21,'Summary V.4 (4)'!$C18,Detail!$E$4:$E$21)</f>
        <v>2</v>
      </c>
      <c r="H18" s="55"/>
      <c r="I18" s="55">
        <f>VLOOKUP($C18,Detail!$B$4:$Q$21,5,0)</f>
        <v>225000000</v>
      </c>
      <c r="J18" s="55">
        <f t="shared" si="0"/>
        <v>450000000</v>
      </c>
      <c r="K18" s="55">
        <f>SUMIF(Detail!$B$4:$B$21,'Summary V.4 (4)'!C18,Detail!$H$4:$H$21)</f>
        <v>225000000</v>
      </c>
      <c r="L18" s="55">
        <f t="shared" si="1"/>
        <v>22500000</v>
      </c>
      <c r="M18" s="56">
        <f t="shared" si="2"/>
        <v>45000000</v>
      </c>
      <c r="N18" s="56"/>
      <c r="O18" s="56">
        <f t="shared" si="9"/>
        <v>45000000</v>
      </c>
      <c r="P18" s="53"/>
      <c r="Q18" s="56">
        <f>G18</f>
        <v>2</v>
      </c>
      <c r="R18" s="53"/>
      <c r="S18" s="53"/>
      <c r="T18" s="53"/>
      <c r="U18" s="53"/>
      <c r="V18" s="53"/>
      <c r="W18" s="53"/>
      <c r="X18" s="56">
        <f t="shared" si="3"/>
        <v>2</v>
      </c>
      <c r="Y18" s="56">
        <f t="shared" si="4"/>
        <v>0</v>
      </c>
      <c r="Z18" s="55">
        <f t="shared" si="5"/>
        <v>45000000</v>
      </c>
      <c r="AA18" s="56">
        <f t="shared" si="6"/>
        <v>0</v>
      </c>
      <c r="AB18" s="60">
        <v>45868</v>
      </c>
      <c r="AC18" s="60">
        <v>45873</v>
      </c>
      <c r="AD18" s="58">
        <v>45904</v>
      </c>
      <c r="AE18" s="58"/>
      <c r="AF18" s="58"/>
      <c r="AG18" s="53" t="s">
        <v>63</v>
      </c>
      <c r="AH18" s="53"/>
      <c r="AI18" s="53"/>
      <c r="AJ18" s="183">
        <f>VLOOKUP(C18,investasi!$B$5:$G$18,6,0)</f>
        <v>45000000</v>
      </c>
      <c r="AK18" s="184">
        <f t="shared" si="7"/>
        <v>45000000</v>
      </c>
      <c r="AL18" s="184">
        <f t="shared" si="10"/>
        <v>0</v>
      </c>
    </row>
    <row r="19" spans="1:39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689519400</v>
      </c>
      <c r="F19" s="53" t="s">
        <v>44</v>
      </c>
      <c r="G19" s="55">
        <f>SUMIF(Detail!$B$4:$B$25,'Summary V.4 (4)'!$C19,Detail!$E$4:$E$25)</f>
        <v>1</v>
      </c>
      <c r="H19" s="55"/>
      <c r="I19" s="55">
        <f>VLOOKUP($C19,Detail!$B$4:$Q$25,5,0)</f>
        <v>1149199000</v>
      </c>
      <c r="J19" s="55">
        <f t="shared" si="0"/>
        <v>1149199000</v>
      </c>
      <c r="K19" s="55">
        <f>SUMIF(Detail!$B$4:$B$25,'Summary V.4 (4)'!C19,Detail!$H$4:$H$25)</f>
        <v>574599500</v>
      </c>
      <c r="L19" s="55">
        <f t="shared" si="1"/>
        <v>114919900</v>
      </c>
      <c r="M19" s="56">
        <f t="shared" si="2"/>
        <v>114919900</v>
      </c>
      <c r="N19" s="56"/>
      <c r="O19" s="56">
        <f>SUM(M19:N19)</f>
        <v>114919900</v>
      </c>
      <c r="P19" s="53"/>
      <c r="Q19" s="56">
        <v>0</v>
      </c>
      <c r="R19" s="53">
        <v>1</v>
      </c>
      <c r="S19" s="53"/>
      <c r="T19" s="53"/>
      <c r="U19" s="53"/>
      <c r="V19" s="53"/>
      <c r="W19" s="53"/>
      <c r="X19" s="56">
        <f t="shared" si="3"/>
        <v>1</v>
      </c>
      <c r="Y19" s="56">
        <f t="shared" si="4"/>
        <v>0</v>
      </c>
      <c r="Z19" s="55">
        <f t="shared" si="5"/>
        <v>114919900</v>
      </c>
      <c r="AA19" s="56">
        <f t="shared" si="6"/>
        <v>0</v>
      </c>
      <c r="AB19" s="60">
        <v>45930</v>
      </c>
      <c r="AC19" s="60">
        <f>AB19+7</f>
        <v>45937</v>
      </c>
      <c r="AD19" s="58">
        <f>AC19+30</f>
        <v>45967</v>
      </c>
      <c r="AE19" s="58">
        <f>AC19+60</f>
        <v>45997</v>
      </c>
      <c r="AF19" s="58"/>
      <c r="AG19" s="53" t="s">
        <v>63</v>
      </c>
      <c r="AH19" s="53"/>
      <c r="AI19" s="53"/>
      <c r="AJ19" s="183">
        <f>VLOOKUP(C19,investasi!$B$5:$G$18,6,0)</f>
        <v>57248700</v>
      </c>
      <c r="AK19" s="184">
        <f t="shared" si="7"/>
        <v>114919900</v>
      </c>
      <c r="AL19" s="184">
        <f t="shared" si="10"/>
        <v>-57671200</v>
      </c>
      <c r="AM19" s="59" t="s">
        <v>128</v>
      </c>
    </row>
    <row r="20" spans="1:39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270000000</v>
      </c>
      <c r="F20" s="53" t="s">
        <v>3</v>
      </c>
      <c r="G20" s="55">
        <f>SUMIF(Detail!$B$4:$B$25,'Summary V.4 (4)'!$C20,Detail!$E$4:$E$25)</f>
        <v>2</v>
      </c>
      <c r="H20" s="55"/>
      <c r="I20" s="55">
        <f>VLOOKUP($C20,Detail!$B$4:$Q$25,5,0)</f>
        <v>225000000</v>
      </c>
      <c r="J20" s="55">
        <f t="shared" si="0"/>
        <v>450000000</v>
      </c>
      <c r="K20" s="55">
        <f>SUMIF(Detail!$B$4:$B$25,'Summary V.4 (4)'!C20,Detail!$H$4:$H$25)</f>
        <v>225000000</v>
      </c>
      <c r="L20" s="55">
        <f t="shared" si="1"/>
        <v>22500000</v>
      </c>
      <c r="M20" s="56">
        <f t="shared" si="2"/>
        <v>45000000</v>
      </c>
      <c r="N20" s="56"/>
      <c r="O20" s="56">
        <f t="shared" ref="O20:O35" si="11">SUM(M20:N20)</f>
        <v>45000000</v>
      </c>
      <c r="P20" s="53"/>
      <c r="Q20" s="56">
        <v>0</v>
      </c>
      <c r="R20" s="53">
        <v>2</v>
      </c>
      <c r="S20" s="53"/>
      <c r="T20" s="53"/>
      <c r="U20" s="53"/>
      <c r="V20" s="53"/>
      <c r="W20" s="53"/>
      <c r="X20" s="56">
        <f t="shared" si="3"/>
        <v>2</v>
      </c>
      <c r="Y20" s="56">
        <f t="shared" si="4"/>
        <v>0</v>
      </c>
      <c r="Z20" s="55">
        <f t="shared" si="5"/>
        <v>45000000</v>
      </c>
      <c r="AA20" s="56">
        <f t="shared" si="6"/>
        <v>0</v>
      </c>
      <c r="AB20" s="60">
        <v>45923</v>
      </c>
      <c r="AC20" s="60">
        <f t="shared" ref="AC20:AC27" si="12">AB20+7</f>
        <v>45930</v>
      </c>
      <c r="AD20" s="58">
        <f t="shared" ref="AD20:AD27" si="13">AC20+30</f>
        <v>45960</v>
      </c>
      <c r="AE20" s="58">
        <f t="shared" ref="AE20:AE27" si="14">AC20+60</f>
        <v>45990</v>
      </c>
      <c r="AF20" s="58"/>
      <c r="AG20" s="53" t="s">
        <v>63</v>
      </c>
      <c r="AH20" s="53"/>
      <c r="AI20" s="53"/>
      <c r="AJ20" s="183">
        <f>VLOOKUP(C20,investasi!$B$5:$G$18,6,0)</f>
        <v>45000000</v>
      </c>
      <c r="AK20" s="184">
        <f t="shared" si="7"/>
        <v>45000000</v>
      </c>
      <c r="AL20" s="184">
        <f t="shared" si="10"/>
        <v>0</v>
      </c>
    </row>
    <row r="21" spans="1:39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457169750</v>
      </c>
      <c r="F21" s="53" t="s">
        <v>50</v>
      </c>
      <c r="G21" s="55">
        <v>20</v>
      </c>
      <c r="H21" s="55"/>
      <c r="I21" s="55">
        <f>VLOOKUP($C21,Detail!$B$4:$Q$25,5,0)</f>
        <v>40457500</v>
      </c>
      <c r="J21" s="55">
        <f t="shared" si="0"/>
        <v>809150000</v>
      </c>
      <c r="K21" s="55">
        <f t="shared" ref="K21:K48" si="15">J21*50%</f>
        <v>404575000</v>
      </c>
      <c r="L21" s="55">
        <f>(K21*13%)/G21</f>
        <v>2629737.5</v>
      </c>
      <c r="M21" s="56">
        <f>K21*13%</f>
        <v>52594750</v>
      </c>
      <c r="N21" s="56"/>
      <c r="O21" s="56">
        <f t="shared" si="11"/>
        <v>52594750</v>
      </c>
      <c r="P21" s="53"/>
      <c r="Q21" s="56">
        <v>0</v>
      </c>
      <c r="R21" s="53"/>
      <c r="S21" s="53">
        <v>20</v>
      </c>
      <c r="T21" s="53"/>
      <c r="U21" s="53"/>
      <c r="V21" s="53"/>
      <c r="W21" s="53"/>
      <c r="X21" s="56">
        <f t="shared" si="3"/>
        <v>20</v>
      </c>
      <c r="Y21" s="56">
        <f t="shared" si="4"/>
        <v>0</v>
      </c>
      <c r="Z21" s="55">
        <f t="shared" si="5"/>
        <v>52594750</v>
      </c>
      <c r="AA21" s="56">
        <f t="shared" si="6"/>
        <v>0</v>
      </c>
      <c r="AB21" s="60">
        <v>45922</v>
      </c>
      <c r="AC21" s="60">
        <f t="shared" si="12"/>
        <v>45929</v>
      </c>
      <c r="AD21" s="58">
        <f t="shared" si="13"/>
        <v>45959</v>
      </c>
      <c r="AE21" s="58">
        <f t="shared" si="14"/>
        <v>45989</v>
      </c>
      <c r="AF21" s="58"/>
      <c r="AG21" s="53" t="s">
        <v>63</v>
      </c>
      <c r="AH21" s="53"/>
      <c r="AI21" s="53"/>
      <c r="AJ21" s="183">
        <f>VLOOKUP(C21,investasi!$B$5:$G$18,6,0)</f>
        <v>52594750</v>
      </c>
      <c r="AK21" s="184">
        <f t="shared" si="7"/>
        <v>52594750</v>
      </c>
      <c r="AL21" s="184">
        <f t="shared" si="10"/>
        <v>0</v>
      </c>
    </row>
    <row r="22" spans="1:39" s="59" customFormat="1" x14ac:dyDescent="0.25">
      <c r="A22" s="181">
        <v>11</v>
      </c>
      <c r="B22" s="60">
        <f>Detail!$C$45</f>
        <v>45891</v>
      </c>
      <c r="C22" s="181">
        <f>Detail!$B$45</f>
        <v>5200972695</v>
      </c>
      <c r="D22" s="53" t="s">
        <v>63</v>
      </c>
      <c r="E22" s="56">
        <f t="shared" si="8"/>
        <v>504000000</v>
      </c>
      <c r="F22" s="53" t="s">
        <v>56</v>
      </c>
      <c r="G22" s="55">
        <v>8</v>
      </c>
      <c r="H22" s="55">
        <v>75000000</v>
      </c>
      <c r="I22" s="55">
        <v>100500000</v>
      </c>
      <c r="J22" s="55">
        <f t="shared" si="0"/>
        <v>804000000</v>
      </c>
      <c r="K22" s="55">
        <f t="shared" si="15"/>
        <v>402000000</v>
      </c>
      <c r="L22" s="55">
        <v>12750000</v>
      </c>
      <c r="M22" s="56">
        <f>G22*L22</f>
        <v>102000000</v>
      </c>
      <c r="N22" s="56"/>
      <c r="O22" s="56">
        <f t="shared" si="11"/>
        <v>102000000</v>
      </c>
      <c r="P22" s="53"/>
      <c r="Q22" s="56">
        <v>0</v>
      </c>
      <c r="R22" s="53">
        <v>8</v>
      </c>
      <c r="S22" s="53"/>
      <c r="T22" s="53"/>
      <c r="U22" s="53"/>
      <c r="V22" s="53"/>
      <c r="W22" s="53" t="s">
        <v>58</v>
      </c>
      <c r="X22" s="56">
        <f t="shared" si="3"/>
        <v>8</v>
      </c>
      <c r="Y22" s="56">
        <f t="shared" si="4"/>
        <v>0</v>
      </c>
      <c r="Z22" s="55">
        <f t="shared" si="5"/>
        <v>102000000</v>
      </c>
      <c r="AA22" s="56">
        <f t="shared" si="6"/>
        <v>0</v>
      </c>
      <c r="AB22" s="60">
        <v>45925</v>
      </c>
      <c r="AC22" s="218">
        <f t="shared" si="12"/>
        <v>45932</v>
      </c>
      <c r="AD22" s="182">
        <f t="shared" si="13"/>
        <v>45962</v>
      </c>
      <c r="AE22" s="58">
        <f t="shared" si="14"/>
        <v>45992</v>
      </c>
      <c r="AF22" s="58"/>
      <c r="AG22" s="53" t="s">
        <v>63</v>
      </c>
      <c r="AH22" s="53"/>
      <c r="AI22" s="53"/>
      <c r="AJ22" s="183">
        <f>VLOOKUP(C22,investasi!$B$5:$G$18,6,0)</f>
        <v>80400000</v>
      </c>
      <c r="AK22" s="184">
        <f t="shared" si="7"/>
        <v>102000000</v>
      </c>
      <c r="AL22" s="184">
        <f t="shared" si="10"/>
        <v>-21600000</v>
      </c>
      <c r="AM22" s="59" t="s">
        <v>113</v>
      </c>
    </row>
    <row r="23" spans="1:39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411000000</v>
      </c>
      <c r="F23" s="59" t="s">
        <v>61</v>
      </c>
      <c r="G23" s="55">
        <v>1</v>
      </c>
      <c r="H23" s="55"/>
      <c r="I23" s="55">
        <f>Detail!F53</f>
        <v>685000000</v>
      </c>
      <c r="J23" s="55">
        <f t="shared" si="0"/>
        <v>685000000</v>
      </c>
      <c r="K23" s="55">
        <f t="shared" si="15"/>
        <v>342500000</v>
      </c>
      <c r="L23" s="55">
        <f t="shared" ref="L23:L33" si="16">(K23*20%)/G23</f>
        <v>68500000</v>
      </c>
      <c r="M23" s="56">
        <f t="shared" ref="M23:M26" si="17">K23*20%</f>
        <v>68500000</v>
      </c>
      <c r="N23" s="56"/>
      <c r="O23" s="56">
        <f t="shared" si="11"/>
        <v>68500000</v>
      </c>
      <c r="P23" s="53"/>
      <c r="Q23" s="56"/>
      <c r="R23" s="53">
        <v>1</v>
      </c>
      <c r="S23" s="53"/>
      <c r="T23" s="53"/>
      <c r="U23" s="53"/>
      <c r="V23" s="53"/>
      <c r="W23" s="53"/>
      <c r="X23" s="56">
        <f t="shared" si="3"/>
        <v>1</v>
      </c>
      <c r="Y23" s="56">
        <f t="shared" si="4"/>
        <v>0</v>
      </c>
      <c r="Z23" s="55">
        <f t="shared" si="5"/>
        <v>68500000</v>
      </c>
      <c r="AA23" s="56">
        <f t="shared" si="6"/>
        <v>0</v>
      </c>
      <c r="AB23" s="60">
        <v>45923</v>
      </c>
      <c r="AC23" s="218">
        <f t="shared" si="12"/>
        <v>45930</v>
      </c>
      <c r="AD23" s="182">
        <f t="shared" si="13"/>
        <v>45960</v>
      </c>
      <c r="AE23" s="58">
        <f t="shared" si="14"/>
        <v>45990</v>
      </c>
      <c r="AF23" s="58"/>
      <c r="AG23" s="53" t="s">
        <v>63</v>
      </c>
      <c r="AH23" s="53"/>
      <c r="AI23" s="53"/>
      <c r="AJ23" s="183">
        <f>VLOOKUP(C23,investasi!$B$5:$G$18,6,0)</f>
        <v>68500000</v>
      </c>
      <c r="AK23" s="184">
        <f t="shared" si="7"/>
        <v>68500000</v>
      </c>
      <c r="AL23" s="184">
        <f t="shared" si="10"/>
        <v>0</v>
      </c>
    </row>
    <row r="24" spans="1:39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270000000</v>
      </c>
      <c r="F24" s="53" t="s">
        <v>3</v>
      </c>
      <c r="G24" s="55">
        <v>2</v>
      </c>
      <c r="H24" s="55"/>
      <c r="I24" s="55">
        <f>Detail!F54</f>
        <v>225000000</v>
      </c>
      <c r="J24" s="55">
        <f t="shared" si="0"/>
        <v>450000000</v>
      </c>
      <c r="K24" s="55">
        <f t="shared" si="15"/>
        <v>225000000</v>
      </c>
      <c r="L24" s="55">
        <f t="shared" si="16"/>
        <v>22500000</v>
      </c>
      <c r="M24" s="56">
        <f>K24*20%</f>
        <v>45000000</v>
      </c>
      <c r="N24" s="56"/>
      <c r="O24" s="56">
        <f t="shared" si="11"/>
        <v>45000000</v>
      </c>
      <c r="P24" s="53"/>
      <c r="Q24" s="56"/>
      <c r="R24" s="53">
        <v>2</v>
      </c>
      <c r="S24" s="53"/>
      <c r="T24" s="53"/>
      <c r="U24" s="53"/>
      <c r="V24" s="53"/>
      <c r="W24" s="53"/>
      <c r="X24" s="56">
        <f t="shared" si="3"/>
        <v>2</v>
      </c>
      <c r="Y24" s="56">
        <f t="shared" si="4"/>
        <v>0</v>
      </c>
      <c r="Z24" s="55">
        <f t="shared" si="5"/>
        <v>45000000</v>
      </c>
      <c r="AA24" s="56">
        <f t="shared" si="6"/>
        <v>0</v>
      </c>
      <c r="AB24" s="218">
        <v>45925</v>
      </c>
      <c r="AC24" s="218">
        <f t="shared" si="12"/>
        <v>45932</v>
      </c>
      <c r="AD24" s="182">
        <f t="shared" si="13"/>
        <v>45962</v>
      </c>
      <c r="AE24" s="58">
        <f t="shared" si="14"/>
        <v>45992</v>
      </c>
      <c r="AF24" s="58"/>
      <c r="AG24" s="53" t="s">
        <v>63</v>
      </c>
      <c r="AH24" s="55"/>
      <c r="AI24" s="55"/>
      <c r="AJ24" s="183">
        <f>VLOOKUP(C24,investasi!$B$5:$G$18,6,0)</f>
        <v>45000000</v>
      </c>
      <c r="AK24" s="184">
        <f t="shared" si="7"/>
        <v>45000000</v>
      </c>
      <c r="AL24" s="184">
        <f t="shared" si="10"/>
        <v>0</v>
      </c>
    </row>
    <row r="25" spans="1:39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1338628920</v>
      </c>
      <c r="F25" s="53" t="s">
        <v>64</v>
      </c>
      <c r="G25" s="55">
        <v>1</v>
      </c>
      <c r="H25" s="55"/>
      <c r="I25" s="55">
        <f>Detail!F56</f>
        <v>2231048200</v>
      </c>
      <c r="J25" s="55">
        <f t="shared" si="0"/>
        <v>2231048200</v>
      </c>
      <c r="K25" s="55">
        <f t="shared" si="15"/>
        <v>1115524100</v>
      </c>
      <c r="L25" s="55">
        <f t="shared" si="16"/>
        <v>223104820</v>
      </c>
      <c r="M25" s="56">
        <f t="shared" si="17"/>
        <v>223104820</v>
      </c>
      <c r="N25" s="56"/>
      <c r="O25" s="56">
        <f t="shared" si="11"/>
        <v>223104820</v>
      </c>
      <c r="P25" s="53"/>
      <c r="Q25" s="56"/>
      <c r="R25" s="53">
        <v>1</v>
      </c>
      <c r="S25" s="53"/>
      <c r="T25" s="53"/>
      <c r="U25" s="53"/>
      <c r="V25" s="53"/>
      <c r="W25" s="53"/>
      <c r="X25" s="56">
        <f t="shared" si="3"/>
        <v>1</v>
      </c>
      <c r="Y25" s="56">
        <f t="shared" si="4"/>
        <v>0</v>
      </c>
      <c r="Z25" s="55">
        <f t="shared" si="5"/>
        <v>223104820</v>
      </c>
      <c r="AA25" s="56">
        <f t="shared" si="6"/>
        <v>0</v>
      </c>
      <c r="AB25" s="218">
        <v>45930</v>
      </c>
      <c r="AC25" s="218">
        <f t="shared" si="12"/>
        <v>45937</v>
      </c>
      <c r="AD25" s="182">
        <f t="shared" si="13"/>
        <v>45967</v>
      </c>
      <c r="AE25" s="58">
        <f t="shared" si="14"/>
        <v>45997</v>
      </c>
      <c r="AF25" s="58"/>
      <c r="AG25" s="53" t="s">
        <v>63</v>
      </c>
      <c r="AH25" s="53"/>
      <c r="AI25" s="53"/>
      <c r="AJ25" s="183">
        <f>VLOOKUP(C25,investasi!$B$5:$G$18,6,0)</f>
        <v>223104820</v>
      </c>
      <c r="AK25" s="184">
        <f t="shared" si="7"/>
        <v>223104820</v>
      </c>
      <c r="AL25" s="184">
        <f t="shared" si="10"/>
        <v>0</v>
      </c>
    </row>
    <row r="26" spans="1:39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270000000</v>
      </c>
      <c r="F26" s="53" t="str">
        <f>Detail!$D$58</f>
        <v>Top Frame 800</v>
      </c>
      <c r="G26" s="55">
        <v>2</v>
      </c>
      <c r="H26" s="55"/>
      <c r="I26" s="55">
        <f>Detail!$F$58</f>
        <v>225000000</v>
      </c>
      <c r="J26" s="55">
        <f t="shared" si="0"/>
        <v>450000000</v>
      </c>
      <c r="K26" s="55">
        <f t="shared" si="15"/>
        <v>225000000</v>
      </c>
      <c r="L26" s="55">
        <f t="shared" si="16"/>
        <v>22500000</v>
      </c>
      <c r="M26" s="56">
        <f t="shared" si="17"/>
        <v>45000000</v>
      </c>
      <c r="N26" s="56"/>
      <c r="O26" s="56">
        <f t="shared" si="11"/>
        <v>45000000</v>
      </c>
      <c r="P26" s="53"/>
      <c r="Q26" s="56"/>
      <c r="R26" s="53">
        <v>2</v>
      </c>
      <c r="S26" s="53"/>
      <c r="T26" s="53"/>
      <c r="U26" s="53"/>
      <c r="V26" s="53"/>
      <c r="W26" s="53"/>
      <c r="X26" s="56">
        <f t="shared" si="3"/>
        <v>2</v>
      </c>
      <c r="Y26" s="56">
        <f t="shared" si="4"/>
        <v>0</v>
      </c>
      <c r="Z26" s="55">
        <f t="shared" si="5"/>
        <v>45000000</v>
      </c>
      <c r="AA26" s="56">
        <f t="shared" si="6"/>
        <v>0</v>
      </c>
      <c r="AB26" s="218">
        <v>45940</v>
      </c>
      <c r="AC26" s="218">
        <f t="shared" si="12"/>
        <v>45947</v>
      </c>
      <c r="AD26" s="182">
        <f t="shared" si="13"/>
        <v>45977</v>
      </c>
      <c r="AE26" s="58">
        <f t="shared" si="14"/>
        <v>46007</v>
      </c>
      <c r="AF26" s="58"/>
      <c r="AG26" s="53" t="s">
        <v>63</v>
      </c>
      <c r="AH26" s="53"/>
      <c r="AI26" s="53"/>
      <c r="AJ26" s="183">
        <f>VLOOKUP(C26,investasi!$B$23:$G$26,6,0)</f>
        <v>45000000</v>
      </c>
      <c r="AK26" s="184">
        <f t="shared" si="7"/>
        <v>45000000</v>
      </c>
      <c r="AL26" s="184">
        <f t="shared" si="10"/>
        <v>0</v>
      </c>
    </row>
    <row r="27" spans="1:39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477261000</v>
      </c>
      <c r="F27" s="53" t="s">
        <v>61</v>
      </c>
      <c r="G27" s="55">
        <v>1</v>
      </c>
      <c r="H27" s="55"/>
      <c r="I27" s="55">
        <f>Detail!F59</f>
        <v>685000000</v>
      </c>
      <c r="J27" s="55">
        <f t="shared" si="0"/>
        <v>685000000</v>
      </c>
      <c r="K27" s="55">
        <f t="shared" si="15"/>
        <v>342500000</v>
      </c>
      <c r="L27" s="55">
        <f t="shared" si="16"/>
        <v>68500000</v>
      </c>
      <c r="M27" s="56">
        <f>(K27*20%)+H27</f>
        <v>68500000</v>
      </c>
      <c r="N27" s="56">
        <v>66261000</v>
      </c>
      <c r="O27" s="56">
        <f t="shared" si="11"/>
        <v>134761000</v>
      </c>
      <c r="P27" s="53"/>
      <c r="Q27" s="56"/>
      <c r="R27" s="53">
        <v>1</v>
      </c>
      <c r="S27" s="53"/>
      <c r="T27" s="53"/>
      <c r="U27" s="53"/>
      <c r="V27" s="53"/>
      <c r="W27" s="53"/>
      <c r="X27" s="56">
        <f t="shared" si="3"/>
        <v>1</v>
      </c>
      <c r="Y27" s="56">
        <f t="shared" si="4"/>
        <v>0</v>
      </c>
      <c r="Z27" s="55">
        <f>L27*X27+N27</f>
        <v>134761000</v>
      </c>
      <c r="AA27" s="56">
        <f>M27+N27-Z27</f>
        <v>0</v>
      </c>
      <c r="AB27" s="218">
        <v>45940</v>
      </c>
      <c r="AC27" s="218">
        <f t="shared" si="12"/>
        <v>45947</v>
      </c>
      <c r="AD27" s="182">
        <f t="shared" si="13"/>
        <v>45977</v>
      </c>
      <c r="AE27" s="58">
        <f t="shared" si="14"/>
        <v>46007</v>
      </c>
      <c r="AF27" s="58"/>
      <c r="AG27" s="53" t="s">
        <v>63</v>
      </c>
      <c r="AH27" s="53"/>
      <c r="AI27" s="53"/>
      <c r="AJ27" s="183">
        <f>VLOOKUP(C27,investasi!$B$23:$G$26,6,0)+investasi!I24</f>
        <v>134761000</v>
      </c>
      <c r="AK27" s="184">
        <f t="shared" si="7"/>
        <v>134761000</v>
      </c>
      <c r="AL27" s="184">
        <f t="shared" si="10"/>
        <v>0</v>
      </c>
    </row>
    <row r="28" spans="1:39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3"/>
      <c r="G28" s="55"/>
      <c r="H28" s="55"/>
      <c r="I28" s="55"/>
      <c r="J28" s="55"/>
      <c r="K28" s="55"/>
      <c r="L28" s="55"/>
      <c r="M28" s="56"/>
      <c r="N28" s="56"/>
      <c r="O28" s="56"/>
      <c r="P28" s="53"/>
      <c r="Q28" s="56"/>
      <c r="R28" s="53"/>
      <c r="S28" s="53"/>
      <c r="T28" s="53"/>
      <c r="U28" s="53"/>
      <c r="V28" s="53"/>
      <c r="W28" s="53"/>
      <c r="X28" s="56">
        <f t="shared" si="3"/>
        <v>0</v>
      </c>
      <c r="Y28" s="56"/>
      <c r="Z28" s="55"/>
      <c r="AA28" s="56"/>
      <c r="AB28" s="218"/>
      <c r="AC28" s="218"/>
      <c r="AD28" s="182"/>
      <c r="AE28" s="58"/>
      <c r="AF28" s="58"/>
      <c r="AG28" s="53" t="s">
        <v>63</v>
      </c>
      <c r="AH28" s="53"/>
      <c r="AI28" s="53"/>
      <c r="AJ28" s="183"/>
      <c r="AK28" s="184"/>
    </row>
    <row r="29" spans="1:39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477261000</v>
      </c>
      <c r="F29" s="53" t="s">
        <v>61</v>
      </c>
      <c r="G29" s="55">
        <v>1</v>
      </c>
      <c r="H29" s="55"/>
      <c r="I29" s="55">
        <f>Detail!F60</f>
        <v>685000000</v>
      </c>
      <c r="J29" s="55">
        <f t="shared" si="0"/>
        <v>685000000</v>
      </c>
      <c r="K29" s="55">
        <f t="shared" si="15"/>
        <v>342500000</v>
      </c>
      <c r="L29" s="55">
        <f t="shared" si="16"/>
        <v>68500000</v>
      </c>
      <c r="M29" s="56">
        <f>(K29*20%)+H29</f>
        <v>68500000</v>
      </c>
      <c r="N29" s="56">
        <v>66261000</v>
      </c>
      <c r="O29" s="56">
        <f t="shared" si="11"/>
        <v>134761000</v>
      </c>
      <c r="P29" s="53"/>
      <c r="Q29" s="56"/>
      <c r="R29" s="53"/>
      <c r="S29" s="53"/>
      <c r="T29" s="53">
        <v>1</v>
      </c>
      <c r="U29" s="53"/>
      <c r="V29" s="53"/>
      <c r="W29" s="53"/>
      <c r="X29" s="56">
        <f t="shared" si="3"/>
        <v>1</v>
      </c>
      <c r="Y29" s="56">
        <f t="shared" ref="Y29:Y42" si="18">G29-X29</f>
        <v>0</v>
      </c>
      <c r="Z29" s="55">
        <f>L29*X29+N29</f>
        <v>134761000</v>
      </c>
      <c r="AA29" s="56">
        <f>M29+N29-Z29</f>
        <v>0</v>
      </c>
      <c r="AB29" s="218">
        <v>45989</v>
      </c>
      <c r="AC29" s="218">
        <v>46008</v>
      </c>
      <c r="AD29" s="218">
        <v>46034</v>
      </c>
      <c r="AE29" s="218">
        <f>AC29+30</f>
        <v>46038</v>
      </c>
      <c r="AF29" s="218">
        <v>46034</v>
      </c>
      <c r="AG29" s="53" t="s">
        <v>63</v>
      </c>
      <c r="AH29" s="53" t="s">
        <v>168</v>
      </c>
      <c r="AI29" s="53"/>
      <c r="AJ29" s="183">
        <f>VLOOKUP(C29,investasi!$B$23:$G$26,6,0)+investasi!I26</f>
        <v>134761000</v>
      </c>
      <c r="AK29" s="184">
        <f>O29</f>
        <v>134761000</v>
      </c>
      <c r="AL29" s="184">
        <f t="shared" si="10"/>
        <v>0</v>
      </c>
    </row>
    <row r="30" spans="1:39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449145000</v>
      </c>
      <c r="F30" s="53" t="s">
        <v>114</v>
      </c>
      <c r="G30" s="55">
        <v>150</v>
      </c>
      <c r="H30" s="55"/>
      <c r="I30" s="55">
        <v>4990500</v>
      </c>
      <c r="J30" s="55">
        <f>G30*I30</f>
        <v>748575000</v>
      </c>
      <c r="K30" s="55">
        <f t="shared" si="15"/>
        <v>374287500</v>
      </c>
      <c r="L30" s="55">
        <f t="shared" si="16"/>
        <v>499050</v>
      </c>
      <c r="M30" s="56">
        <f>(K30*20%)+H30</f>
        <v>74857500</v>
      </c>
      <c r="N30" s="56"/>
      <c r="O30" s="56">
        <f t="shared" si="11"/>
        <v>74857500</v>
      </c>
      <c r="P30" s="53"/>
      <c r="Q30" s="56"/>
      <c r="R30" s="53"/>
      <c r="S30" s="53"/>
      <c r="T30" s="53">
        <v>150</v>
      </c>
      <c r="U30" s="53"/>
      <c r="V30" s="53"/>
      <c r="W30" s="53"/>
      <c r="X30" s="56">
        <f t="shared" si="3"/>
        <v>150</v>
      </c>
      <c r="Y30" s="56">
        <f t="shared" si="18"/>
        <v>0</v>
      </c>
      <c r="Z30" s="55">
        <f>L30*X30+N30</f>
        <v>74857500</v>
      </c>
      <c r="AA30" s="56">
        <f>M30+N30-Z30</f>
        <v>0</v>
      </c>
      <c r="AB30" s="218">
        <v>45989</v>
      </c>
      <c r="AC30" s="218">
        <v>46008</v>
      </c>
      <c r="AD30" s="218">
        <v>46034</v>
      </c>
      <c r="AE30" s="218">
        <f>AC30+30</f>
        <v>46038</v>
      </c>
      <c r="AF30" s="218">
        <v>46034</v>
      </c>
      <c r="AG30" s="53" t="s">
        <v>63</v>
      </c>
      <c r="AH30" s="53" t="s">
        <v>168</v>
      </c>
      <c r="AI30" s="53"/>
      <c r="AJ30" s="183"/>
      <c r="AK30" s="184"/>
      <c r="AL30" s="184"/>
    </row>
    <row r="31" spans="1:39" s="245" customFormat="1" ht="14.25" customHeight="1" x14ac:dyDescent="0.25">
      <c r="A31" s="235">
        <f t="shared" ref="A31:A43" si="19">A30+1</f>
        <v>20</v>
      </c>
      <c r="B31" s="236">
        <v>45977</v>
      </c>
      <c r="C31" s="235">
        <v>5200989664</v>
      </c>
      <c r="D31" s="237" t="s">
        <v>63</v>
      </c>
      <c r="E31" s="238">
        <f t="shared" si="8"/>
        <v>1266000000</v>
      </c>
      <c r="F31" s="237" t="s">
        <v>115</v>
      </c>
      <c r="G31" s="238">
        <v>100</v>
      </c>
      <c r="H31" s="238"/>
      <c r="I31" s="238">
        <v>21100000</v>
      </c>
      <c r="J31" s="238">
        <f t="shared" ref="J31:J35" si="20">G31*I31</f>
        <v>2110000000</v>
      </c>
      <c r="K31" s="238">
        <f t="shared" si="15"/>
        <v>1055000000</v>
      </c>
      <c r="L31" s="238">
        <f t="shared" si="16"/>
        <v>2110000</v>
      </c>
      <c r="M31" s="239">
        <f t="shared" ref="M31:M33" si="21">(K31*20%)+H31</f>
        <v>211000000</v>
      </c>
      <c r="N31" s="239"/>
      <c r="O31" s="239">
        <f t="shared" si="11"/>
        <v>211000000</v>
      </c>
      <c r="P31" s="237"/>
      <c r="Q31" s="239"/>
      <c r="R31" s="237"/>
      <c r="S31" s="237"/>
      <c r="T31" s="237"/>
      <c r="U31" s="237">
        <v>100</v>
      </c>
      <c r="V31" s="237"/>
      <c r="W31" s="237"/>
      <c r="X31" s="239">
        <f t="shared" si="3"/>
        <v>100</v>
      </c>
      <c r="Y31" s="239">
        <f t="shared" si="18"/>
        <v>0</v>
      </c>
      <c r="Z31" s="238">
        <f>L31*X31+N31</f>
        <v>211000000</v>
      </c>
      <c r="AA31" s="239">
        <f t="shared" ref="AA31:AA35" si="22">M31+N31-Z31</f>
        <v>0</v>
      </c>
      <c r="AB31" s="236">
        <v>46031</v>
      </c>
      <c r="AC31" s="247">
        <v>46031</v>
      </c>
      <c r="AD31" s="241">
        <f>AB31+30</f>
        <v>46061</v>
      </c>
      <c r="AE31" s="242"/>
      <c r="AF31" s="242"/>
      <c r="AG31" s="237" t="s">
        <v>69</v>
      </c>
      <c r="AH31" s="237"/>
      <c r="AI31" s="237"/>
      <c r="AJ31" s="243"/>
      <c r="AK31" s="244"/>
      <c r="AL31" s="244"/>
    </row>
    <row r="32" spans="1:39" s="40" customFormat="1" ht="14.25" customHeight="1" x14ac:dyDescent="0.25">
      <c r="A32" s="34">
        <f>A31+1</f>
        <v>21</v>
      </c>
      <c r="B32" s="35">
        <v>45977</v>
      </c>
      <c r="C32" s="34">
        <v>5200989665</v>
      </c>
      <c r="D32" s="36" t="s">
        <v>69</v>
      </c>
      <c r="E32" s="36"/>
      <c r="F32" s="36" t="s">
        <v>115</v>
      </c>
      <c r="G32" s="37">
        <v>100</v>
      </c>
      <c r="H32" s="37"/>
      <c r="I32" s="37">
        <v>21100000</v>
      </c>
      <c r="J32" s="37">
        <f t="shared" si="20"/>
        <v>2110000000</v>
      </c>
      <c r="K32" s="37">
        <f t="shared" si="15"/>
        <v>1055000000</v>
      </c>
      <c r="L32" s="37">
        <f t="shared" si="16"/>
        <v>2110000</v>
      </c>
      <c r="M32" s="38">
        <f t="shared" si="21"/>
        <v>211000000</v>
      </c>
      <c r="N32" s="38"/>
      <c r="O32" s="38">
        <f t="shared" si="11"/>
        <v>211000000</v>
      </c>
      <c r="P32" s="36"/>
      <c r="Q32" s="38"/>
      <c r="R32" s="36"/>
      <c r="S32" s="36"/>
      <c r="T32" s="36"/>
      <c r="U32" s="36">
        <v>100</v>
      </c>
      <c r="V32" s="36"/>
      <c r="W32" s="36"/>
      <c r="X32" s="38">
        <f>SUM(P32:V32)</f>
        <v>100</v>
      </c>
      <c r="Y32" s="38">
        <f t="shared" si="18"/>
        <v>0</v>
      </c>
      <c r="Z32" s="37">
        <f>L32*X32+N32</f>
        <v>211000000</v>
      </c>
      <c r="AA32" s="38">
        <f t="shared" si="22"/>
        <v>0</v>
      </c>
      <c r="AB32" s="35">
        <v>46030</v>
      </c>
      <c r="AC32" s="246">
        <v>46030</v>
      </c>
      <c r="AD32" s="41">
        <f>AB32+30</f>
        <v>46060</v>
      </c>
      <c r="AE32" s="39"/>
      <c r="AF32" s="39"/>
      <c r="AG32" s="36" t="s">
        <v>69</v>
      </c>
      <c r="AH32" s="36"/>
      <c r="AI32" s="36"/>
      <c r="AJ32" s="206"/>
      <c r="AK32" s="207"/>
      <c r="AL32" s="207"/>
    </row>
    <row r="33" spans="1:38" s="40" customFormat="1" ht="14.25" customHeight="1" x14ac:dyDescent="0.25">
      <c r="A33" s="347">
        <f t="shared" si="19"/>
        <v>22</v>
      </c>
      <c r="B33" s="349">
        <v>45977</v>
      </c>
      <c r="C33" s="351">
        <v>5200989666</v>
      </c>
      <c r="D33" s="36" t="s">
        <v>69</v>
      </c>
      <c r="E33" s="36"/>
      <c r="F33" s="353" t="s">
        <v>115</v>
      </c>
      <c r="G33" s="355">
        <v>110</v>
      </c>
      <c r="H33" s="37"/>
      <c r="I33" s="345">
        <v>21100000</v>
      </c>
      <c r="J33" s="345">
        <f t="shared" si="20"/>
        <v>2321000000</v>
      </c>
      <c r="K33" s="345">
        <f t="shared" si="15"/>
        <v>1160500000</v>
      </c>
      <c r="L33" s="345">
        <f t="shared" si="16"/>
        <v>2110000</v>
      </c>
      <c r="M33" s="345">
        <f t="shared" si="21"/>
        <v>232100000</v>
      </c>
      <c r="N33" s="345"/>
      <c r="O33" s="345">
        <f t="shared" si="11"/>
        <v>232100000</v>
      </c>
      <c r="P33" s="36"/>
      <c r="Q33" s="38"/>
      <c r="R33" s="36"/>
      <c r="S33" s="36"/>
      <c r="T33" s="36"/>
      <c r="U33" s="36"/>
      <c r="V33" s="36">
        <v>55</v>
      </c>
      <c r="W33" s="36"/>
      <c r="X33" s="38">
        <f>SUM(P33:V33)</f>
        <v>55</v>
      </c>
      <c r="Y33" s="38">
        <v>0</v>
      </c>
      <c r="Z33" s="37">
        <f>L33*X33+N33</f>
        <v>116050000</v>
      </c>
      <c r="AA33" s="38">
        <v>0</v>
      </c>
      <c r="AB33" s="35">
        <v>46027</v>
      </c>
      <c r="AC33" s="219">
        <v>45676</v>
      </c>
      <c r="AD33" s="41">
        <f>AC33+30</f>
        <v>45706</v>
      </c>
      <c r="AE33" s="39"/>
      <c r="AF33" s="39"/>
      <c r="AG33" s="36" t="s">
        <v>69</v>
      </c>
      <c r="AH33" s="36" t="s">
        <v>189</v>
      </c>
      <c r="AI33" s="36"/>
      <c r="AJ33" s="206"/>
      <c r="AK33" s="207"/>
      <c r="AL33" s="207"/>
    </row>
    <row r="34" spans="1:38" s="40" customFormat="1" ht="14.25" customHeight="1" x14ac:dyDescent="0.25">
      <c r="A34" s="348"/>
      <c r="B34" s="350"/>
      <c r="C34" s="352"/>
      <c r="D34" s="36" t="s">
        <v>69</v>
      </c>
      <c r="E34" s="255"/>
      <c r="F34" s="354"/>
      <c r="G34" s="356"/>
      <c r="H34" s="37"/>
      <c r="I34" s="346"/>
      <c r="J34" s="346"/>
      <c r="K34" s="346"/>
      <c r="L34" s="346"/>
      <c r="M34" s="346"/>
      <c r="N34" s="346"/>
      <c r="O34" s="346"/>
      <c r="P34" s="36"/>
      <c r="Q34" s="38"/>
      <c r="R34" s="36"/>
      <c r="S34" s="36"/>
      <c r="T34" s="36"/>
      <c r="U34" s="36"/>
      <c r="V34" s="36">
        <v>55</v>
      </c>
      <c r="W34" s="36"/>
      <c r="X34" s="38">
        <f>SUM(P34:V34)</f>
        <v>55</v>
      </c>
      <c r="Y34" s="38">
        <v>0</v>
      </c>
      <c r="Z34" s="37">
        <f>X34*L33+N33</f>
        <v>116050000</v>
      </c>
      <c r="AA34" s="38">
        <v>0</v>
      </c>
      <c r="AB34" s="35">
        <v>46036</v>
      </c>
      <c r="AC34" s="219">
        <v>45676</v>
      </c>
      <c r="AD34" s="41">
        <f>AC34+30</f>
        <v>45706</v>
      </c>
      <c r="AE34" s="39"/>
      <c r="AF34" s="39"/>
      <c r="AG34" s="36" t="s">
        <v>69</v>
      </c>
      <c r="AH34" s="36" t="s">
        <v>189</v>
      </c>
      <c r="AI34" s="36"/>
      <c r="AJ34" s="206"/>
      <c r="AK34" s="207"/>
      <c r="AL34" s="207"/>
    </row>
    <row r="35" spans="1:38" s="40" customFormat="1" ht="14.25" customHeight="1" x14ac:dyDescent="0.25">
      <c r="A35" s="34">
        <f>A33+1</f>
        <v>23</v>
      </c>
      <c r="B35" s="35">
        <v>45981</v>
      </c>
      <c r="C35" s="34">
        <v>5200992759</v>
      </c>
      <c r="D35" s="36" t="s">
        <v>69</v>
      </c>
      <c r="E35" s="36"/>
      <c r="F35" s="36" t="s">
        <v>60</v>
      </c>
      <c r="G35" s="37">
        <v>6</v>
      </c>
      <c r="H35" s="37"/>
      <c r="I35" s="37">
        <v>100500000</v>
      </c>
      <c r="J35" s="37">
        <f t="shared" si="20"/>
        <v>603000000</v>
      </c>
      <c r="K35" s="37">
        <f t="shared" si="15"/>
        <v>301500000</v>
      </c>
      <c r="L35" s="37">
        <v>12750000</v>
      </c>
      <c r="M35" s="38">
        <f>L35*G35</f>
        <v>76500000</v>
      </c>
      <c r="N35" s="38"/>
      <c r="O35" s="38">
        <f t="shared" si="11"/>
        <v>76500000</v>
      </c>
      <c r="P35" s="36"/>
      <c r="Q35" s="38"/>
      <c r="R35" s="36"/>
      <c r="S35" s="36"/>
      <c r="T35" s="36"/>
      <c r="U35" s="36"/>
      <c r="V35" s="36">
        <v>6</v>
      </c>
      <c r="W35" s="36"/>
      <c r="X35" s="38">
        <f>SUM(P35:V35)</f>
        <v>6</v>
      </c>
      <c r="Y35" s="38">
        <f t="shared" ref="Y35" si="23">G35-X35</f>
        <v>0</v>
      </c>
      <c r="Z35" s="37">
        <f>L35*X35+N35</f>
        <v>76500000</v>
      </c>
      <c r="AA35" s="38">
        <f t="shared" si="22"/>
        <v>0</v>
      </c>
      <c r="AB35" s="35">
        <v>46048</v>
      </c>
      <c r="AC35" s="219">
        <v>46048</v>
      </c>
      <c r="AD35" s="41">
        <f>AC35+30</f>
        <v>46078</v>
      </c>
      <c r="AE35" s="39"/>
      <c r="AF35" s="39"/>
      <c r="AG35" s="36" t="s">
        <v>69</v>
      </c>
      <c r="AH35" s="36" t="s">
        <v>183</v>
      </c>
      <c r="AI35" s="36"/>
      <c r="AJ35" s="206"/>
      <c r="AK35" s="207"/>
      <c r="AL35" s="207"/>
    </row>
    <row r="36" spans="1:38" s="40" customFormat="1" ht="14.25" customHeight="1" x14ac:dyDescent="0.25">
      <c r="A36" s="34">
        <f t="shared" si="19"/>
        <v>24</v>
      </c>
      <c r="B36" s="35">
        <v>45985</v>
      </c>
      <c r="C36" s="34">
        <v>5200991260</v>
      </c>
      <c r="D36" s="36" t="s">
        <v>69</v>
      </c>
      <c r="E36" s="36"/>
      <c r="F36" s="36" t="s">
        <v>114</v>
      </c>
      <c r="G36" s="37">
        <v>150</v>
      </c>
      <c r="H36" s="37"/>
      <c r="I36" s="37">
        <v>4990500</v>
      </c>
      <c r="J36" s="37">
        <f>G36*I36</f>
        <v>748575000</v>
      </c>
      <c r="K36" s="37">
        <f t="shared" si="15"/>
        <v>374287500</v>
      </c>
      <c r="L36" s="37">
        <f t="shared" ref="L36:L43" si="24">(K36*20%)/G36</f>
        <v>499050</v>
      </c>
      <c r="M36" s="38">
        <f>(K36*20%)+H36</f>
        <v>74857500</v>
      </c>
      <c r="N36" s="38"/>
      <c r="O36" s="38">
        <f t="shared" ref="O36:O48" si="25">SUM(M36:N36)</f>
        <v>74857500</v>
      </c>
      <c r="P36" s="36"/>
      <c r="Q36" s="38"/>
      <c r="R36" s="36"/>
      <c r="S36" s="36"/>
      <c r="T36" s="36"/>
      <c r="U36" s="36"/>
      <c r="V36" s="36">
        <f>G36</f>
        <v>150</v>
      </c>
      <c r="W36" s="36"/>
      <c r="X36" s="38">
        <f t="shared" si="3"/>
        <v>0</v>
      </c>
      <c r="Y36" s="38">
        <f t="shared" si="18"/>
        <v>150</v>
      </c>
      <c r="Z36" s="37">
        <f t="shared" ref="Z36:Z42" si="26">L36*X36+N36</f>
        <v>0</v>
      </c>
      <c r="AA36" s="38">
        <f>M36+N36-Z36</f>
        <v>74857500</v>
      </c>
      <c r="AB36" s="35">
        <v>46041</v>
      </c>
      <c r="AC36" s="246">
        <v>46041</v>
      </c>
      <c r="AD36" s="41"/>
      <c r="AE36" s="39">
        <f t="shared" ref="AE36:AE42" si="27">AB36+60</f>
        <v>46101</v>
      </c>
      <c r="AF36" s="39"/>
      <c r="AG36" s="36" t="s">
        <v>69</v>
      </c>
      <c r="AH36" s="36" t="s">
        <v>183</v>
      </c>
      <c r="AI36" s="36"/>
      <c r="AJ36" s="206"/>
      <c r="AK36" s="207"/>
      <c r="AL36" s="207"/>
    </row>
    <row r="37" spans="1:38" s="40" customFormat="1" ht="14.25" customHeight="1" x14ac:dyDescent="0.25">
      <c r="A37" s="34">
        <f t="shared" si="19"/>
        <v>25</v>
      </c>
      <c r="B37" s="35">
        <v>45985</v>
      </c>
      <c r="C37" s="34">
        <v>5200991264</v>
      </c>
      <c r="D37" s="36" t="s">
        <v>69</v>
      </c>
      <c r="E37" s="36"/>
      <c r="F37" s="36" t="s">
        <v>114</v>
      </c>
      <c r="G37" s="37">
        <v>150</v>
      </c>
      <c r="H37" s="37"/>
      <c r="I37" s="37">
        <v>4990500</v>
      </c>
      <c r="J37" s="37">
        <f t="shared" ref="J37:J40" si="28">G37*I37</f>
        <v>748575000</v>
      </c>
      <c r="K37" s="37">
        <f t="shared" si="15"/>
        <v>374287500</v>
      </c>
      <c r="L37" s="37">
        <f t="shared" si="24"/>
        <v>499050</v>
      </c>
      <c r="M37" s="38">
        <f t="shared" ref="M37:M40" si="29">(K37*20%)+H37</f>
        <v>74857500</v>
      </c>
      <c r="N37" s="38"/>
      <c r="O37" s="38">
        <f t="shared" si="25"/>
        <v>74857500</v>
      </c>
      <c r="P37" s="36"/>
      <c r="Q37" s="38"/>
      <c r="R37" s="36"/>
      <c r="S37" s="36"/>
      <c r="T37" s="36"/>
      <c r="U37" s="36"/>
      <c r="V37" s="36">
        <f>G37</f>
        <v>150</v>
      </c>
      <c r="W37" s="36"/>
      <c r="X37" s="38">
        <f t="shared" si="3"/>
        <v>0</v>
      </c>
      <c r="Y37" s="38">
        <f t="shared" si="18"/>
        <v>150</v>
      </c>
      <c r="Z37" s="37">
        <f t="shared" si="26"/>
        <v>0</v>
      </c>
      <c r="AA37" s="38">
        <f t="shared" ref="AA37:AA40" si="30">M37+N37-Z37</f>
        <v>74857500</v>
      </c>
      <c r="AB37" s="35">
        <v>46041</v>
      </c>
      <c r="AC37" s="246">
        <v>46041</v>
      </c>
      <c r="AD37" s="41"/>
      <c r="AE37" s="39">
        <f t="shared" si="27"/>
        <v>46101</v>
      </c>
      <c r="AF37" s="39"/>
      <c r="AG37" s="36" t="s">
        <v>69</v>
      </c>
      <c r="AH37" s="36" t="s">
        <v>183</v>
      </c>
      <c r="AI37" s="36"/>
      <c r="AJ37" s="206"/>
      <c r="AK37" s="207"/>
      <c r="AL37" s="207"/>
    </row>
    <row r="38" spans="1:38" s="40" customFormat="1" ht="14.25" customHeight="1" x14ac:dyDescent="0.25">
      <c r="A38" s="34">
        <f t="shared" si="19"/>
        <v>26</v>
      </c>
      <c r="B38" s="35">
        <v>45986</v>
      </c>
      <c r="C38" s="34">
        <v>5200991456</v>
      </c>
      <c r="D38" s="36" t="s">
        <v>69</v>
      </c>
      <c r="E38" s="36"/>
      <c r="F38" s="36" t="s">
        <v>114</v>
      </c>
      <c r="G38" s="37">
        <v>150</v>
      </c>
      <c r="H38" s="37"/>
      <c r="I38" s="37">
        <v>4990500</v>
      </c>
      <c r="J38" s="37">
        <f t="shared" si="28"/>
        <v>748575000</v>
      </c>
      <c r="K38" s="37">
        <f t="shared" si="15"/>
        <v>374287500</v>
      </c>
      <c r="L38" s="37">
        <f t="shared" si="24"/>
        <v>499050</v>
      </c>
      <c r="M38" s="38">
        <f t="shared" si="29"/>
        <v>74857500</v>
      </c>
      <c r="N38" s="38"/>
      <c r="O38" s="38">
        <f t="shared" si="25"/>
        <v>74857500</v>
      </c>
      <c r="P38" s="36"/>
      <c r="Q38" s="38"/>
      <c r="R38" s="36"/>
      <c r="S38" s="36"/>
      <c r="T38" s="36"/>
      <c r="U38" s="36">
        <f t="shared" ref="U38:U42" si="31">G38</f>
        <v>150</v>
      </c>
      <c r="V38" s="36"/>
      <c r="W38" s="36"/>
      <c r="X38" s="38">
        <f t="shared" si="3"/>
        <v>150</v>
      </c>
      <c r="Y38" s="38">
        <f t="shared" si="18"/>
        <v>0</v>
      </c>
      <c r="Z38" s="37">
        <f t="shared" si="26"/>
        <v>74857500</v>
      </c>
      <c r="AA38" s="38">
        <f t="shared" si="30"/>
        <v>0</v>
      </c>
      <c r="AB38" s="35">
        <v>46036</v>
      </c>
      <c r="AC38" s="246">
        <v>46036</v>
      </c>
      <c r="AD38" s="41"/>
      <c r="AE38" s="39">
        <f t="shared" si="27"/>
        <v>46096</v>
      </c>
      <c r="AF38" s="39"/>
      <c r="AG38" s="36" t="s">
        <v>69</v>
      </c>
      <c r="AH38" s="36"/>
      <c r="AI38" s="36"/>
      <c r="AJ38" s="206"/>
      <c r="AK38" s="207"/>
      <c r="AL38" s="207"/>
    </row>
    <row r="39" spans="1:38" s="40" customFormat="1" ht="14.25" customHeight="1" x14ac:dyDescent="0.25">
      <c r="A39" s="34">
        <f t="shared" si="19"/>
        <v>27</v>
      </c>
      <c r="B39" s="35">
        <v>45986</v>
      </c>
      <c r="C39" s="34">
        <v>5200991458</v>
      </c>
      <c r="D39" s="36" t="s">
        <v>69</v>
      </c>
      <c r="E39" s="36"/>
      <c r="F39" s="36" t="s">
        <v>114</v>
      </c>
      <c r="G39" s="37">
        <v>150</v>
      </c>
      <c r="H39" s="37"/>
      <c r="I39" s="37">
        <v>4990500</v>
      </c>
      <c r="J39" s="37">
        <f t="shared" si="28"/>
        <v>748575000</v>
      </c>
      <c r="K39" s="37">
        <f t="shared" si="15"/>
        <v>374287500</v>
      </c>
      <c r="L39" s="37">
        <f t="shared" si="24"/>
        <v>499050</v>
      </c>
      <c r="M39" s="38">
        <f t="shared" si="29"/>
        <v>74857500</v>
      </c>
      <c r="N39" s="38"/>
      <c r="O39" s="38">
        <f t="shared" si="25"/>
        <v>74857500</v>
      </c>
      <c r="P39" s="36"/>
      <c r="Q39" s="38"/>
      <c r="R39" s="36"/>
      <c r="S39" s="36"/>
      <c r="T39" s="36"/>
      <c r="U39" s="36">
        <f t="shared" si="31"/>
        <v>150</v>
      </c>
      <c r="V39" s="36"/>
      <c r="W39" s="36"/>
      <c r="X39" s="38">
        <f t="shared" si="3"/>
        <v>150</v>
      </c>
      <c r="Y39" s="38">
        <f t="shared" si="18"/>
        <v>0</v>
      </c>
      <c r="Z39" s="37">
        <f t="shared" si="26"/>
        <v>74857500</v>
      </c>
      <c r="AA39" s="38">
        <f t="shared" si="30"/>
        <v>0</v>
      </c>
      <c r="AB39" s="35">
        <v>46036</v>
      </c>
      <c r="AC39" s="246">
        <v>46036</v>
      </c>
      <c r="AD39" s="41"/>
      <c r="AE39" s="39">
        <f t="shared" si="27"/>
        <v>46096</v>
      </c>
      <c r="AF39" s="39"/>
      <c r="AG39" s="36" t="s">
        <v>69</v>
      </c>
      <c r="AH39" s="36"/>
      <c r="AI39" s="36"/>
      <c r="AJ39" s="206"/>
      <c r="AK39" s="207"/>
      <c r="AL39" s="207"/>
    </row>
    <row r="40" spans="1:38" s="40" customFormat="1" ht="14.25" customHeight="1" x14ac:dyDescent="0.25">
      <c r="A40" s="34">
        <f t="shared" si="19"/>
        <v>28</v>
      </c>
      <c r="B40" s="35">
        <v>45986</v>
      </c>
      <c r="C40" s="34">
        <v>5200991502</v>
      </c>
      <c r="D40" s="36" t="s">
        <v>69</v>
      </c>
      <c r="E40" s="36"/>
      <c r="F40" s="36" t="s">
        <v>114</v>
      </c>
      <c r="G40" s="37">
        <v>150</v>
      </c>
      <c r="H40" s="37"/>
      <c r="I40" s="37">
        <v>4990500</v>
      </c>
      <c r="J40" s="37">
        <f t="shared" si="28"/>
        <v>748575000</v>
      </c>
      <c r="K40" s="37">
        <f t="shared" si="15"/>
        <v>374287500</v>
      </c>
      <c r="L40" s="37">
        <f t="shared" si="24"/>
        <v>499050</v>
      </c>
      <c r="M40" s="38">
        <f t="shared" si="29"/>
        <v>74857500</v>
      </c>
      <c r="N40" s="38"/>
      <c r="O40" s="38">
        <f t="shared" si="25"/>
        <v>74857500</v>
      </c>
      <c r="P40" s="36"/>
      <c r="Q40" s="38"/>
      <c r="R40" s="36"/>
      <c r="S40" s="36"/>
      <c r="T40" s="36"/>
      <c r="U40" s="36">
        <f t="shared" si="31"/>
        <v>150</v>
      </c>
      <c r="V40" s="36"/>
      <c r="W40" s="36"/>
      <c r="X40" s="38">
        <f t="shared" si="3"/>
        <v>150</v>
      </c>
      <c r="Y40" s="38">
        <f t="shared" si="18"/>
        <v>0</v>
      </c>
      <c r="Z40" s="37">
        <f t="shared" si="26"/>
        <v>74857500</v>
      </c>
      <c r="AA40" s="38">
        <f t="shared" si="30"/>
        <v>0</v>
      </c>
      <c r="AB40" s="35">
        <v>46030</v>
      </c>
      <c r="AC40" s="246">
        <v>46030</v>
      </c>
      <c r="AD40" s="41"/>
      <c r="AE40" s="39">
        <f t="shared" si="27"/>
        <v>46090</v>
      </c>
      <c r="AF40" s="39"/>
      <c r="AG40" s="36" t="s">
        <v>69</v>
      </c>
      <c r="AH40" s="36"/>
      <c r="AI40" s="36"/>
      <c r="AJ40" s="206"/>
      <c r="AK40" s="207"/>
      <c r="AL40" s="207"/>
    </row>
    <row r="41" spans="1:38" s="40" customFormat="1" x14ac:dyDescent="0.25">
      <c r="A41" s="34">
        <f t="shared" si="19"/>
        <v>29</v>
      </c>
      <c r="B41" s="35">
        <v>45986</v>
      </c>
      <c r="C41" s="34">
        <v>5200991503</v>
      </c>
      <c r="D41" s="36" t="s">
        <v>69</v>
      </c>
      <c r="E41" s="36"/>
      <c r="F41" s="36" t="s">
        <v>114</v>
      </c>
      <c r="G41" s="37">
        <v>150</v>
      </c>
      <c r="H41" s="37"/>
      <c r="I41" s="37">
        <v>4990500</v>
      </c>
      <c r="J41" s="37">
        <f t="shared" ref="J41:J48" si="32">G41*I41</f>
        <v>748575000</v>
      </c>
      <c r="K41" s="37">
        <f t="shared" si="15"/>
        <v>374287500</v>
      </c>
      <c r="L41" s="37">
        <f t="shared" si="24"/>
        <v>499050</v>
      </c>
      <c r="M41" s="38">
        <f>(K41*20%)+H41</f>
        <v>74857500</v>
      </c>
      <c r="N41" s="38"/>
      <c r="O41" s="38">
        <f t="shared" si="25"/>
        <v>74857500</v>
      </c>
      <c r="P41" s="36"/>
      <c r="Q41" s="38"/>
      <c r="R41" s="36"/>
      <c r="S41" s="36"/>
      <c r="T41" s="36"/>
      <c r="U41" s="36">
        <f t="shared" si="31"/>
        <v>150</v>
      </c>
      <c r="V41" s="36"/>
      <c r="W41" s="36"/>
      <c r="X41" s="38">
        <f t="shared" si="3"/>
        <v>150</v>
      </c>
      <c r="Y41" s="38">
        <f t="shared" si="18"/>
        <v>0</v>
      </c>
      <c r="Z41" s="37">
        <f t="shared" si="26"/>
        <v>74857500</v>
      </c>
      <c r="AA41" s="38">
        <f>M41+N41-Z41</f>
        <v>0</v>
      </c>
      <c r="AB41" s="219">
        <v>46030</v>
      </c>
      <c r="AC41" s="246">
        <v>46030</v>
      </c>
      <c r="AD41" s="41"/>
      <c r="AE41" s="39">
        <f t="shared" si="27"/>
        <v>46090</v>
      </c>
      <c r="AF41" s="39"/>
      <c r="AG41" s="36" t="s">
        <v>69</v>
      </c>
      <c r="AH41" s="36"/>
      <c r="AI41" s="36"/>
      <c r="AJ41" s="206"/>
      <c r="AK41" s="207"/>
      <c r="AL41" s="207"/>
    </row>
    <row r="42" spans="1:38" s="40" customFormat="1" x14ac:dyDescent="0.25">
      <c r="A42" s="34">
        <f t="shared" si="19"/>
        <v>30</v>
      </c>
      <c r="B42" s="35">
        <v>46372</v>
      </c>
      <c r="C42" s="34">
        <v>5200991553</v>
      </c>
      <c r="D42" s="36" t="s">
        <v>69</v>
      </c>
      <c r="E42" s="36"/>
      <c r="F42" s="36" t="s">
        <v>114</v>
      </c>
      <c r="G42" s="37">
        <v>50</v>
      </c>
      <c r="H42" s="37"/>
      <c r="I42" s="37">
        <v>4990500</v>
      </c>
      <c r="J42" s="37">
        <f t="shared" si="32"/>
        <v>249525000</v>
      </c>
      <c r="K42" s="37">
        <f t="shared" si="15"/>
        <v>124762500</v>
      </c>
      <c r="L42" s="37">
        <f t="shared" si="24"/>
        <v>499050</v>
      </c>
      <c r="M42" s="38">
        <f>(K42*20%)+H42</f>
        <v>24952500</v>
      </c>
      <c r="N42" s="38"/>
      <c r="O42" s="38">
        <f t="shared" si="25"/>
        <v>24952500</v>
      </c>
      <c r="P42" s="36"/>
      <c r="Q42" s="38"/>
      <c r="R42" s="36"/>
      <c r="S42" s="36"/>
      <c r="T42" s="36"/>
      <c r="U42" s="36">
        <f t="shared" si="31"/>
        <v>50</v>
      </c>
      <c r="V42" s="36"/>
      <c r="W42" s="36"/>
      <c r="X42" s="38">
        <f t="shared" si="3"/>
        <v>50</v>
      </c>
      <c r="Y42" s="38">
        <f t="shared" si="18"/>
        <v>0</v>
      </c>
      <c r="Z42" s="37">
        <f t="shared" si="26"/>
        <v>24952500</v>
      </c>
      <c r="AA42" s="38">
        <f>M42+N42-Z42</f>
        <v>0</v>
      </c>
      <c r="AB42" s="219">
        <v>46036</v>
      </c>
      <c r="AC42" s="246">
        <v>46036</v>
      </c>
      <c r="AD42" s="41"/>
      <c r="AE42" s="39">
        <f t="shared" si="27"/>
        <v>46096</v>
      </c>
      <c r="AF42" s="39"/>
      <c r="AG42" s="36" t="s">
        <v>69</v>
      </c>
      <c r="AH42" s="36"/>
      <c r="AI42" s="36"/>
      <c r="AJ42" s="206"/>
      <c r="AK42" s="207"/>
      <c r="AL42" s="207"/>
    </row>
    <row r="43" spans="1:38" ht="14.25" customHeight="1" x14ac:dyDescent="0.25">
      <c r="A43" s="31">
        <f t="shared" si="19"/>
        <v>31</v>
      </c>
      <c r="B43" s="16">
        <v>46021</v>
      </c>
      <c r="C43" s="179">
        <v>5200996833</v>
      </c>
      <c r="D43" s="4" t="s">
        <v>65</v>
      </c>
      <c r="E43" s="4"/>
      <c r="F43" s="4" t="s">
        <v>153</v>
      </c>
      <c r="G43" s="78">
        <v>1</v>
      </c>
      <c r="H43" s="78"/>
      <c r="I43" s="78">
        <v>1188000000</v>
      </c>
      <c r="J43" s="78">
        <f t="shared" si="32"/>
        <v>1188000000</v>
      </c>
      <c r="K43" s="78">
        <f t="shared" si="15"/>
        <v>594000000</v>
      </c>
      <c r="L43" s="78">
        <f t="shared" si="24"/>
        <v>118800000</v>
      </c>
      <c r="M43" s="7">
        <f>(K43*20%)+H43</f>
        <v>118800000</v>
      </c>
      <c r="N43" s="7"/>
      <c r="O43" s="7">
        <f t="shared" si="25"/>
        <v>118800000</v>
      </c>
      <c r="P43" s="4"/>
      <c r="Q43" s="7"/>
      <c r="R43" s="4"/>
      <c r="S43" s="4"/>
      <c r="T43" s="4"/>
      <c r="U43" s="4"/>
      <c r="V43" s="4"/>
      <c r="W43" s="4"/>
      <c r="X43" s="7">
        <v>0</v>
      </c>
      <c r="Y43" s="7">
        <v>0</v>
      </c>
      <c r="Z43" s="7">
        <v>0</v>
      </c>
      <c r="AA43" s="7">
        <f t="shared" ref="AA43:AA48" si="33">M43+N43-Z43</f>
        <v>118800000</v>
      </c>
      <c r="AB43" s="16"/>
      <c r="AC43" s="221"/>
      <c r="AD43" s="185"/>
      <c r="AE43" s="256"/>
      <c r="AF43" s="27"/>
      <c r="AG43" s="4" t="s">
        <v>65</v>
      </c>
      <c r="AH43" s="4" t="s">
        <v>171</v>
      </c>
      <c r="AI43" s="4"/>
      <c r="AJ43" s="82"/>
      <c r="AK43" s="2"/>
      <c r="AL43" s="2"/>
    </row>
    <row r="44" spans="1:38" ht="14.25" customHeight="1" x14ac:dyDescent="0.25">
      <c r="A44" s="31"/>
      <c r="B44" s="16">
        <v>46045</v>
      </c>
      <c r="C44" s="179">
        <v>5201004344</v>
      </c>
      <c r="D44" s="4" t="s">
        <v>65</v>
      </c>
      <c r="E44" s="4"/>
      <c r="F44" s="4" t="s">
        <v>114</v>
      </c>
      <c r="G44" s="78">
        <v>50</v>
      </c>
      <c r="H44" s="78"/>
      <c r="I44" s="78">
        <f>249525000/G44</f>
        <v>4990500</v>
      </c>
      <c r="J44" s="78">
        <f t="shared" si="32"/>
        <v>249525000</v>
      </c>
      <c r="K44" s="78">
        <f t="shared" si="15"/>
        <v>124762500</v>
      </c>
      <c r="L44" s="78">
        <f>(K44/G44)*20%</f>
        <v>499050</v>
      </c>
      <c r="M44" s="7">
        <f>(K44*20%)+H44</f>
        <v>24952500</v>
      </c>
      <c r="N44" s="7"/>
      <c r="O44" s="7">
        <f t="shared" si="25"/>
        <v>24952500</v>
      </c>
      <c r="P44" s="4"/>
      <c r="Q44" s="7"/>
      <c r="R44" s="4"/>
      <c r="S44" s="4"/>
      <c r="T44" s="4"/>
      <c r="U44" s="4"/>
      <c r="V44" s="4"/>
      <c r="W44" s="4"/>
      <c r="X44" s="7">
        <v>0</v>
      </c>
      <c r="Y44" s="7">
        <v>0</v>
      </c>
      <c r="Z44" s="7">
        <v>0</v>
      </c>
      <c r="AA44" s="7">
        <f t="shared" si="33"/>
        <v>24952500</v>
      </c>
      <c r="AB44" s="16"/>
      <c r="AC44" s="221"/>
      <c r="AD44" s="185"/>
      <c r="AE44" s="256"/>
      <c r="AF44" s="27"/>
      <c r="AG44" s="4" t="s">
        <v>65</v>
      </c>
      <c r="AH44" s="4" t="s">
        <v>171</v>
      </c>
      <c r="AI44" s="4"/>
      <c r="AJ44" s="82"/>
      <c r="AK44" s="2"/>
      <c r="AL44" s="2"/>
    </row>
    <row r="45" spans="1:38" ht="14.25" customHeight="1" x14ac:dyDescent="0.25">
      <c r="A45" s="31"/>
      <c r="B45" s="16">
        <v>46051</v>
      </c>
      <c r="C45" s="179">
        <v>5201005549</v>
      </c>
      <c r="D45" s="4" t="s">
        <v>65</v>
      </c>
      <c r="E45" s="179"/>
      <c r="F45" s="4" t="s">
        <v>45</v>
      </c>
      <c r="G45" s="78">
        <v>2</v>
      </c>
      <c r="H45" s="78"/>
      <c r="I45" s="78">
        <v>225000000</v>
      </c>
      <c r="J45" s="78">
        <f t="shared" si="32"/>
        <v>450000000</v>
      </c>
      <c r="K45" s="78">
        <f t="shared" si="15"/>
        <v>225000000</v>
      </c>
      <c r="L45" s="78">
        <f>(K45/G45)*20%</f>
        <v>22500000</v>
      </c>
      <c r="M45" s="7">
        <f>L45*G45</f>
        <v>45000000</v>
      </c>
      <c r="N45" s="7"/>
      <c r="O45" s="7">
        <f t="shared" si="25"/>
        <v>45000000</v>
      </c>
      <c r="P45" s="4"/>
      <c r="Q45" s="7"/>
      <c r="R45" s="4"/>
      <c r="S45" s="4"/>
      <c r="T45" s="4"/>
      <c r="U45" s="4"/>
      <c r="V45" s="4"/>
      <c r="W45" s="4"/>
      <c r="X45" s="7">
        <v>0</v>
      </c>
      <c r="Y45" s="7">
        <v>0</v>
      </c>
      <c r="Z45" s="7">
        <v>0</v>
      </c>
      <c r="AA45" s="7">
        <f t="shared" si="33"/>
        <v>45000000</v>
      </c>
      <c r="AB45" s="16"/>
      <c r="AC45" s="221"/>
      <c r="AD45" s="185"/>
      <c r="AE45" s="256"/>
      <c r="AF45" s="27"/>
      <c r="AG45" s="4"/>
      <c r="AH45" s="4" t="s">
        <v>171</v>
      </c>
      <c r="AI45" s="4"/>
      <c r="AJ45" s="82"/>
      <c r="AK45" s="2"/>
      <c r="AL45" s="2"/>
    </row>
    <row r="46" spans="1:38" ht="14.25" customHeight="1" x14ac:dyDescent="0.25">
      <c r="A46" s="31"/>
      <c r="B46" s="16">
        <v>46051</v>
      </c>
      <c r="C46" s="179">
        <v>5201005550</v>
      </c>
      <c r="D46" s="4" t="s">
        <v>65</v>
      </c>
      <c r="E46" s="179"/>
      <c r="F46" s="4" t="s">
        <v>45</v>
      </c>
      <c r="G46" s="78">
        <v>2</v>
      </c>
      <c r="H46" s="78"/>
      <c r="I46" s="78">
        <v>225000000</v>
      </c>
      <c r="J46" s="78">
        <f t="shared" si="32"/>
        <v>450000000</v>
      </c>
      <c r="K46" s="78">
        <f t="shared" si="15"/>
        <v>225000000</v>
      </c>
      <c r="L46" s="78">
        <f>(K46/G46)*20%</f>
        <v>22500000</v>
      </c>
      <c r="M46" s="7">
        <f>L46*G46</f>
        <v>45000000</v>
      </c>
      <c r="N46" s="7"/>
      <c r="O46" s="7">
        <f t="shared" si="25"/>
        <v>45000000</v>
      </c>
      <c r="P46" s="4"/>
      <c r="Q46" s="7"/>
      <c r="R46" s="4"/>
      <c r="S46" s="4"/>
      <c r="T46" s="4"/>
      <c r="U46" s="4"/>
      <c r="V46" s="4"/>
      <c r="W46" s="4"/>
      <c r="X46" s="7">
        <v>0</v>
      </c>
      <c r="Y46" s="7">
        <v>0</v>
      </c>
      <c r="Z46" s="7">
        <v>0</v>
      </c>
      <c r="AA46" s="7">
        <f t="shared" si="33"/>
        <v>45000000</v>
      </c>
      <c r="AB46" s="16"/>
      <c r="AC46" s="221"/>
      <c r="AD46" s="185"/>
      <c r="AE46" s="256"/>
      <c r="AF46" s="27"/>
      <c r="AG46" s="4"/>
      <c r="AH46" s="4" t="s">
        <v>171</v>
      </c>
      <c r="AI46" s="4"/>
      <c r="AJ46" s="82"/>
      <c r="AK46" s="2"/>
      <c r="AL46" s="2"/>
    </row>
    <row r="47" spans="1:38" ht="14.25" customHeight="1" x14ac:dyDescent="0.25">
      <c r="A47" s="31"/>
      <c r="B47" s="16">
        <v>46051</v>
      </c>
      <c r="C47" s="179">
        <v>5201005551</v>
      </c>
      <c r="D47" s="4" t="s">
        <v>65</v>
      </c>
      <c r="E47" s="179"/>
      <c r="F47" s="4" t="s">
        <v>192</v>
      </c>
      <c r="G47" s="78">
        <v>16</v>
      </c>
      <c r="H47" s="78"/>
      <c r="I47" s="78">
        <v>37000000</v>
      </c>
      <c r="J47" s="78">
        <f t="shared" si="32"/>
        <v>592000000</v>
      </c>
      <c r="K47" s="78">
        <f t="shared" si="15"/>
        <v>296000000</v>
      </c>
      <c r="L47" s="78">
        <f>(K47/G47)*20%</f>
        <v>3700000</v>
      </c>
      <c r="M47" s="7">
        <f>K47*20%</f>
        <v>59200000</v>
      </c>
      <c r="N47" s="7"/>
      <c r="O47" s="7">
        <f t="shared" si="25"/>
        <v>59200000</v>
      </c>
      <c r="P47" s="4"/>
      <c r="Q47" s="7"/>
      <c r="R47" s="4"/>
      <c r="S47" s="4"/>
      <c r="T47" s="4"/>
      <c r="U47" s="4"/>
      <c r="V47" s="4"/>
      <c r="W47" s="4"/>
      <c r="X47" s="7">
        <v>0</v>
      </c>
      <c r="Y47" s="7">
        <v>0</v>
      </c>
      <c r="Z47" s="7">
        <v>0</v>
      </c>
      <c r="AA47" s="7">
        <f t="shared" si="33"/>
        <v>59200000</v>
      </c>
      <c r="AB47" s="16"/>
      <c r="AC47" s="221"/>
      <c r="AD47" s="185"/>
      <c r="AE47" s="27"/>
      <c r="AF47" s="27"/>
      <c r="AG47" s="4"/>
      <c r="AH47" s="4" t="s">
        <v>171</v>
      </c>
      <c r="AI47" s="4"/>
      <c r="AJ47" s="82"/>
      <c r="AK47" s="2"/>
      <c r="AL47" s="2"/>
    </row>
    <row r="48" spans="1:38" ht="14.25" customHeight="1" x14ac:dyDescent="0.25">
      <c r="A48" s="31"/>
      <c r="B48" s="16">
        <v>46051</v>
      </c>
      <c r="C48" s="179">
        <v>5201005552</v>
      </c>
      <c r="D48" s="4" t="s">
        <v>65</v>
      </c>
      <c r="E48" s="179"/>
      <c r="F48" s="4" t="s">
        <v>193</v>
      </c>
      <c r="G48" s="78">
        <v>16</v>
      </c>
      <c r="H48" s="78"/>
      <c r="I48" s="78">
        <v>37000000</v>
      </c>
      <c r="J48" s="78">
        <f t="shared" si="32"/>
        <v>592000000</v>
      </c>
      <c r="K48" s="78">
        <f t="shared" si="15"/>
        <v>296000000</v>
      </c>
      <c r="L48" s="78">
        <f>(K48/G48)*20%</f>
        <v>3700000</v>
      </c>
      <c r="M48" s="7">
        <f>K48*20%</f>
        <v>59200000</v>
      </c>
      <c r="N48" s="7"/>
      <c r="O48" s="7">
        <f t="shared" si="25"/>
        <v>59200000</v>
      </c>
      <c r="P48" s="4"/>
      <c r="Q48" s="7"/>
      <c r="R48" s="4"/>
      <c r="S48" s="4"/>
      <c r="T48" s="4"/>
      <c r="U48" s="4"/>
      <c r="V48" s="4"/>
      <c r="W48" s="4"/>
      <c r="X48" s="7">
        <v>0</v>
      </c>
      <c r="Y48" s="7">
        <v>0</v>
      </c>
      <c r="Z48" s="7">
        <v>0</v>
      </c>
      <c r="AA48" s="7">
        <f t="shared" si="33"/>
        <v>59200000</v>
      </c>
      <c r="AB48" s="16"/>
      <c r="AC48" s="221"/>
      <c r="AD48" s="185"/>
      <c r="AE48" s="27"/>
      <c r="AF48" s="27"/>
      <c r="AG48" s="4"/>
      <c r="AH48" s="4" t="s">
        <v>171</v>
      </c>
      <c r="AI48" s="4"/>
      <c r="AJ48" s="82"/>
      <c r="AK48" s="2"/>
      <c r="AL48" s="2"/>
    </row>
    <row r="49" spans="1:38" ht="14.25" customHeight="1" x14ac:dyDescent="0.25">
      <c r="A49" s="31"/>
      <c r="B49" s="31"/>
      <c r="C49" s="179"/>
      <c r="D49" s="179"/>
      <c r="E49" s="179"/>
      <c r="F49" s="4"/>
      <c r="G49" s="78"/>
      <c r="H49" s="78"/>
      <c r="I49" s="78"/>
      <c r="J49" s="78"/>
      <c r="K49" s="78"/>
      <c r="L49" s="78"/>
      <c r="M49" s="7"/>
      <c r="N49" s="7"/>
      <c r="O49" s="7"/>
      <c r="P49" s="4"/>
      <c r="Q49" s="7"/>
      <c r="R49" s="4"/>
      <c r="S49" s="4"/>
      <c r="T49" s="4"/>
      <c r="U49" s="4"/>
      <c r="V49" s="4"/>
      <c r="W49" s="4"/>
      <c r="X49" s="7"/>
      <c r="Y49" s="7"/>
      <c r="Z49" s="78"/>
      <c r="AA49" s="7"/>
      <c r="AB49" s="16"/>
      <c r="AC49" s="221"/>
      <c r="AD49" s="185"/>
      <c r="AE49" s="27"/>
      <c r="AF49" s="27"/>
      <c r="AG49" s="4"/>
      <c r="AH49" s="4"/>
      <c r="AI49" s="4"/>
      <c r="AJ49" s="82"/>
      <c r="AK49" s="2"/>
      <c r="AL49" s="2"/>
    </row>
    <row r="50" spans="1:38" ht="15.75" thickBot="1" x14ac:dyDescent="0.3">
      <c r="A50" s="29"/>
      <c r="B50" s="29"/>
      <c r="F50" s="15"/>
      <c r="G50" s="79"/>
      <c r="H50" s="79"/>
      <c r="I50" s="79"/>
      <c r="J50" s="79"/>
      <c r="K50" s="79"/>
      <c r="L50" s="79"/>
      <c r="M50" s="2"/>
      <c r="N50" s="2"/>
      <c r="O50" s="2"/>
      <c r="Q50" s="2"/>
      <c r="X50" s="2"/>
      <c r="Y50" s="2"/>
      <c r="Z50" s="79"/>
      <c r="AA50" s="2"/>
      <c r="AB50" s="2"/>
    </row>
    <row r="51" spans="1:38" ht="15.75" thickBot="1" x14ac:dyDescent="0.3">
      <c r="C51" s="32" t="s">
        <v>51</v>
      </c>
      <c r="D51" s="253"/>
      <c r="E51" s="253"/>
      <c r="F51" s="18"/>
      <c r="G51" s="18"/>
      <c r="H51" s="18"/>
      <c r="I51" s="18"/>
      <c r="J51" s="19">
        <f>SUM(J12:J49)</f>
        <v>28603472200</v>
      </c>
      <c r="K51" s="19">
        <f>SUM(K12:K49)</f>
        <v>14301736100</v>
      </c>
      <c r="L51" s="18"/>
      <c r="M51" s="19">
        <f>SUM(M12:M49)</f>
        <v>2869826970</v>
      </c>
      <c r="N51" s="19">
        <f>SUM(N12:N49)</f>
        <v>132522000</v>
      </c>
      <c r="O51" s="19">
        <f>SUM(O12:O49)</f>
        <v>3002348970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>
        <f>SUM(Z12:Z49)</f>
        <v>2500481470</v>
      </c>
      <c r="AA51" s="19">
        <f>SUM(AA12:AA49)</f>
        <v>501867500</v>
      </c>
      <c r="AB51" s="24"/>
    </row>
    <row r="52" spans="1:38" x14ac:dyDescent="0.25">
      <c r="G52" s="9"/>
      <c r="H52" s="9"/>
      <c r="I52" s="9"/>
      <c r="J52" s="9"/>
      <c r="K52" s="9"/>
      <c r="L52" s="248"/>
      <c r="M52" s="9"/>
      <c r="N52" s="9"/>
      <c r="O52" s="248"/>
      <c r="AA52" s="2"/>
    </row>
    <row r="53" spans="1:38" x14ac:dyDescent="0.25">
      <c r="G53" s="9" t="s">
        <v>36</v>
      </c>
      <c r="H53" s="9"/>
      <c r="I53" s="9" t="s">
        <v>37</v>
      </c>
      <c r="J53" s="9" t="s">
        <v>38</v>
      </c>
      <c r="K53" s="9" t="s">
        <v>39</v>
      </c>
      <c r="L53" s="9" t="s">
        <v>40</v>
      </c>
      <c r="M53" s="9" t="s">
        <v>41</v>
      </c>
      <c r="N53" s="9"/>
      <c r="O53" s="9"/>
    </row>
    <row r="54" spans="1:38" x14ac:dyDescent="0.25">
      <c r="G54" s="10" t="s">
        <v>32</v>
      </c>
      <c r="H54" s="11" t="s">
        <v>46</v>
      </c>
      <c r="I54" s="10" t="s">
        <v>8</v>
      </c>
      <c r="J54" s="11" t="s">
        <v>71</v>
      </c>
      <c r="K54" s="12" t="s">
        <v>42</v>
      </c>
      <c r="L54" s="12" t="s">
        <v>133</v>
      </c>
      <c r="M54" s="13" t="s">
        <v>30</v>
      </c>
      <c r="N54" s="33"/>
      <c r="O54" s="33"/>
    </row>
    <row r="55" spans="1:38" x14ac:dyDescent="0.25">
      <c r="G55" s="5">
        <v>45839</v>
      </c>
      <c r="H55" s="7">
        <f>SUM(K12:K14)</f>
        <v>900000000</v>
      </c>
      <c r="I55" s="7">
        <f>SUM(Z12:Z14)</f>
        <v>180000000</v>
      </c>
      <c r="J55" s="6"/>
      <c r="K55" s="6"/>
      <c r="L55" s="6"/>
      <c r="M55" s="7">
        <f>H55+I55</f>
        <v>1080000000</v>
      </c>
      <c r="N55" s="2"/>
      <c r="O55" s="2"/>
      <c r="AA55" s="2"/>
    </row>
    <row r="56" spans="1:38" x14ac:dyDescent="0.25">
      <c r="G56" s="5">
        <v>45870</v>
      </c>
      <c r="H56" s="7">
        <f>SUM(K15:K18)</f>
        <v>1125000000</v>
      </c>
      <c r="I56" s="7">
        <f>SUM(Z15:Z18)</f>
        <v>225000000</v>
      </c>
      <c r="J56" s="7"/>
      <c r="K56" s="7">
        <f>SUM(K19:K22)</f>
        <v>1606174500</v>
      </c>
      <c r="L56" s="7"/>
      <c r="M56" s="7">
        <f>M55+H56+I56+J56-K56-L56</f>
        <v>823825500</v>
      </c>
      <c r="N56" s="2"/>
      <c r="O56" s="2"/>
    </row>
    <row r="57" spans="1:38" x14ac:dyDescent="0.25">
      <c r="G57" s="5">
        <v>45901</v>
      </c>
      <c r="H57" s="7">
        <v>1426698600</v>
      </c>
      <c r="I57" s="7"/>
      <c r="J57" s="7"/>
      <c r="K57" s="7">
        <f>SUM(K23:K27)</f>
        <v>2250524100</v>
      </c>
      <c r="L57" s="7"/>
      <c r="M57" s="7">
        <f>M56+H57+I57+J57-K57</f>
        <v>0</v>
      </c>
      <c r="N57" s="2"/>
      <c r="O57" s="2"/>
    </row>
    <row r="58" spans="1:38" x14ac:dyDescent="0.25">
      <c r="G58" s="5">
        <v>45931</v>
      </c>
      <c r="H58" s="7"/>
      <c r="I58" s="7"/>
      <c r="J58" s="7"/>
      <c r="K58" s="7">
        <f>K29+K28</f>
        <v>342500000</v>
      </c>
      <c r="L58" s="7"/>
      <c r="M58" s="7">
        <f>M57+H58+I58+J58-K58</f>
        <v>-342500000</v>
      </c>
      <c r="N58" s="2"/>
      <c r="O58" s="2"/>
    </row>
    <row r="59" spans="1:38" x14ac:dyDescent="0.25">
      <c r="G59" s="5">
        <v>45962</v>
      </c>
      <c r="H59" s="7"/>
      <c r="I59" s="7">
        <f>SUM(O19:O28)</f>
        <v>830880470</v>
      </c>
      <c r="J59" s="7"/>
      <c r="K59" s="7">
        <f>-SUM(K19:K28)+SUM(K30:K41)</f>
        <v>2335313900</v>
      </c>
      <c r="L59" s="7">
        <v>1105000000</v>
      </c>
      <c r="M59" s="7">
        <f>M58+H59+I59+J59-K59-L59</f>
        <v>-2951933430</v>
      </c>
      <c r="N59" s="2"/>
      <c r="O59" s="2"/>
    </row>
    <row r="60" spans="1:38" x14ac:dyDescent="0.25">
      <c r="G60" s="27">
        <v>46007</v>
      </c>
      <c r="H60" s="7">
        <v>1300000000</v>
      </c>
      <c r="I60" s="7"/>
      <c r="J60" s="7"/>
      <c r="K60" s="7">
        <f>K42+K43+K49</f>
        <v>718762500</v>
      </c>
      <c r="L60" s="7"/>
      <c r="M60" s="7">
        <f>M59+H60+I60+J60-K60-L60</f>
        <v>-2370695930</v>
      </c>
      <c r="N60" s="2"/>
      <c r="O60" s="2"/>
      <c r="R60" s="1"/>
    </row>
    <row r="61" spans="1:38" x14ac:dyDescent="0.25">
      <c r="G61" s="27">
        <v>46014</v>
      </c>
      <c r="H61" s="7">
        <v>250000000</v>
      </c>
      <c r="I61" s="7"/>
      <c r="J61" s="7"/>
      <c r="K61" s="7"/>
      <c r="L61" s="7"/>
      <c r="M61" s="7">
        <f t="shared" ref="M61:M69" si="34">M60+H61+I61+J61-K61-L61</f>
        <v>-2120695930</v>
      </c>
      <c r="N61" s="2"/>
      <c r="O61" s="2"/>
      <c r="R61" s="1"/>
    </row>
    <row r="62" spans="1:38" ht="15.75" thickBot="1" x14ac:dyDescent="0.3">
      <c r="G62" s="27">
        <v>46015</v>
      </c>
      <c r="H62" s="7">
        <v>250000000</v>
      </c>
      <c r="I62" s="7"/>
      <c r="J62" s="7"/>
      <c r="K62" s="7"/>
      <c r="L62" s="7"/>
      <c r="M62" s="7">
        <f t="shared" si="34"/>
        <v>-1870695930</v>
      </c>
      <c r="N62" s="2"/>
      <c r="O62" s="2"/>
      <c r="R62" s="1"/>
    </row>
    <row r="63" spans="1:38" x14ac:dyDescent="0.25">
      <c r="B63" s="226" t="s">
        <v>191</v>
      </c>
      <c r="C63" s="227">
        <f>SUM(H70)</f>
        <v>6401698600</v>
      </c>
      <c r="D63" s="2"/>
      <c r="G63" s="27">
        <v>46016</v>
      </c>
      <c r="H63" s="7">
        <v>250000000</v>
      </c>
      <c r="I63" s="7"/>
      <c r="J63" s="7"/>
      <c r="K63" s="7"/>
      <c r="L63" s="7"/>
      <c r="M63" s="7">
        <f t="shared" si="34"/>
        <v>-1620695930</v>
      </c>
      <c r="N63" s="2"/>
      <c r="O63" s="2"/>
      <c r="R63" s="1"/>
    </row>
    <row r="64" spans="1:38" x14ac:dyDescent="0.25">
      <c r="B64" s="228" t="s">
        <v>175</v>
      </c>
      <c r="C64" s="229">
        <f>SUM(O12:O31)</f>
        <v>1656498970</v>
      </c>
      <c r="D64" s="2"/>
      <c r="E64" s="2"/>
      <c r="G64" s="27">
        <v>46017</v>
      </c>
      <c r="H64" s="7">
        <v>250000000</v>
      </c>
      <c r="I64" s="7"/>
      <c r="J64" s="7"/>
      <c r="K64" s="7"/>
      <c r="L64" s="7"/>
      <c r="M64" s="7">
        <f t="shared" si="34"/>
        <v>-1370695930</v>
      </c>
      <c r="N64" s="2"/>
      <c r="O64" s="2"/>
      <c r="R64" s="1"/>
    </row>
    <row r="65" spans="2:25" x14ac:dyDescent="0.25">
      <c r="B65" s="228" t="s">
        <v>176</v>
      </c>
      <c r="C65" s="234">
        <f>-K51</f>
        <v>-14301736100</v>
      </c>
      <c r="D65" s="254"/>
      <c r="E65" s="2"/>
      <c r="G65" s="27">
        <v>46018</v>
      </c>
      <c r="H65" s="7">
        <v>250000000</v>
      </c>
      <c r="I65" s="7"/>
      <c r="J65" s="7"/>
      <c r="K65" s="7"/>
      <c r="L65" s="7"/>
      <c r="M65" s="7">
        <f t="shared" si="34"/>
        <v>-1120695930</v>
      </c>
      <c r="N65" s="2"/>
      <c r="O65" s="2"/>
      <c r="R65" s="1"/>
    </row>
    <row r="66" spans="2:25" x14ac:dyDescent="0.25">
      <c r="B66" s="228" t="s">
        <v>177</v>
      </c>
      <c r="C66" s="229">
        <f>SUM(K12:K31)</f>
        <v>7653486100</v>
      </c>
      <c r="D66" s="2"/>
      <c r="E66" s="254"/>
      <c r="G66" s="27">
        <v>46019</v>
      </c>
      <c r="H66" s="7">
        <v>250000000</v>
      </c>
      <c r="I66" s="7"/>
      <c r="J66" s="7"/>
      <c r="K66" s="7"/>
      <c r="L66" s="7"/>
      <c r="M66" s="7">
        <f t="shared" si="34"/>
        <v>-870695930</v>
      </c>
      <c r="N66" s="2"/>
      <c r="O66" s="2"/>
      <c r="R66" s="1"/>
    </row>
    <row r="67" spans="2:25" x14ac:dyDescent="0.25">
      <c r="B67" s="230" t="s">
        <v>136</v>
      </c>
      <c r="C67" s="231">
        <f>SUM(C63:C66)</f>
        <v>1409947570</v>
      </c>
      <c r="D67" s="24"/>
      <c r="E67" s="231"/>
      <c r="G67" s="27">
        <v>46020</v>
      </c>
      <c r="H67" s="7">
        <v>150000000</v>
      </c>
      <c r="I67" s="7"/>
      <c r="J67" s="7"/>
      <c r="K67" s="7"/>
      <c r="L67" s="7"/>
      <c r="M67" s="7">
        <f>M66+H67+I67+J67-K67-L67</f>
        <v>-720695930</v>
      </c>
      <c r="N67" s="2"/>
      <c r="O67" s="2"/>
      <c r="R67" s="1"/>
    </row>
    <row r="68" spans="2:25" x14ac:dyDescent="0.25">
      <c r="B68" s="228" t="s">
        <v>172</v>
      </c>
      <c r="C68" s="229">
        <f>L59</f>
        <v>1105000000</v>
      </c>
      <c r="D68" s="2"/>
      <c r="E68" s="229"/>
      <c r="G68" s="27">
        <v>46034</v>
      </c>
      <c r="H68" s="7"/>
      <c r="I68" s="7">
        <f>SUM(O29:O31)</f>
        <v>420618500</v>
      </c>
      <c r="J68" s="7"/>
      <c r="K68" s="7">
        <f>-SUM(K29:K31)</f>
        <v>-1771787500</v>
      </c>
      <c r="L68" s="7"/>
      <c r="M68" s="7">
        <f t="shared" si="34"/>
        <v>1471710070</v>
      </c>
      <c r="N68" s="2"/>
      <c r="O68" s="2"/>
      <c r="R68" s="1"/>
    </row>
    <row r="69" spans="2:25" ht="15.75" thickBot="1" x14ac:dyDescent="0.3">
      <c r="B69" s="232" t="s">
        <v>173</v>
      </c>
      <c r="C69" s="233">
        <f>C67-C68</f>
        <v>304947570</v>
      </c>
      <c r="D69" s="24"/>
      <c r="E69" s="233"/>
      <c r="G69" s="27">
        <v>46045</v>
      </c>
      <c r="H69" s="7"/>
      <c r="I69" s="7"/>
      <c r="J69" s="7"/>
      <c r="K69" s="7">
        <f>SUM(K44:K48)</f>
        <v>1166762500</v>
      </c>
      <c r="L69" s="7"/>
      <c r="M69" s="7">
        <f t="shared" si="34"/>
        <v>304947570</v>
      </c>
      <c r="N69" s="24"/>
      <c r="O69" s="24"/>
      <c r="R69" s="2"/>
    </row>
    <row r="70" spans="2:25" ht="15.75" thickTop="1" x14ac:dyDescent="0.25">
      <c r="F70" s="2"/>
      <c r="G70" s="4"/>
      <c r="H70" s="8">
        <f>SUM(H55:H69)</f>
        <v>6401698600</v>
      </c>
      <c r="I70" s="8">
        <f>SUM(I55:I69)</f>
        <v>1656498970</v>
      </c>
      <c r="J70" s="8">
        <f t="shared" ref="J70" si="35">SUM(J55:J60)</f>
        <v>0</v>
      </c>
      <c r="K70" s="8">
        <f>SUM(K55:K69)</f>
        <v>6648250000</v>
      </c>
      <c r="L70" s="8">
        <f>SUM(L55:L68)</f>
        <v>1105000000</v>
      </c>
      <c r="M70" s="8">
        <f>H70+I70+J70-K70-L70</f>
        <v>304947570</v>
      </c>
    </row>
    <row r="71" spans="2:25" x14ac:dyDescent="0.25">
      <c r="G71" s="2"/>
      <c r="H71" s="2"/>
      <c r="I71" s="2"/>
      <c r="J71" s="2"/>
    </row>
    <row r="72" spans="2:25" x14ac:dyDescent="0.25">
      <c r="G72" s="167" t="s">
        <v>47</v>
      </c>
      <c r="H72" s="168">
        <f>H70</f>
        <v>6401698600</v>
      </c>
      <c r="I72" s="167"/>
      <c r="J72" s="189"/>
      <c r="K72" s="203" t="s">
        <v>148</v>
      </c>
      <c r="L72" s="190"/>
      <c r="M72" s="2"/>
      <c r="N72" s="2"/>
    </row>
    <row r="73" spans="2:25" x14ac:dyDescent="0.25">
      <c r="G73" s="167" t="s">
        <v>8</v>
      </c>
      <c r="H73" s="168">
        <f>SUM(O12:O27)</f>
        <v>1235880470</v>
      </c>
      <c r="I73" s="167"/>
      <c r="J73" s="189"/>
      <c r="K73" s="190" t="s">
        <v>149</v>
      </c>
      <c r="L73" s="191">
        <f>H70</f>
        <v>6401698600</v>
      </c>
      <c r="M73" s="19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2:25" x14ac:dyDescent="0.25">
      <c r="G74" s="167" t="s">
        <v>144</v>
      </c>
      <c r="H74" s="168">
        <f>-K70</f>
        <v>-6648250000</v>
      </c>
      <c r="I74" s="167" t="s">
        <v>146</v>
      </c>
      <c r="J74" s="189"/>
      <c r="K74" s="190" t="s">
        <v>8</v>
      </c>
      <c r="L74" s="192">
        <f>I70</f>
        <v>1656498970</v>
      </c>
      <c r="M74" s="1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5" x14ac:dyDescent="0.25">
      <c r="G75" s="167" t="s">
        <v>133</v>
      </c>
      <c r="H75" s="168">
        <f>-L59</f>
        <v>-1105000000</v>
      </c>
      <c r="I75" s="167"/>
      <c r="J75" s="189"/>
      <c r="K75" s="190" t="s">
        <v>35</v>
      </c>
      <c r="L75" s="204">
        <f>-L59</f>
        <v>-1105000000</v>
      </c>
      <c r="M75" s="193"/>
      <c r="X75" s="2"/>
    </row>
    <row r="76" spans="2:25" ht="15.75" thickBot="1" x14ac:dyDescent="0.3">
      <c r="G76" s="200" t="s">
        <v>145</v>
      </c>
      <c r="H76" s="201">
        <f>H72+H73+H74+H75</f>
        <v>-115670930</v>
      </c>
      <c r="I76" s="167"/>
      <c r="J76" s="189"/>
      <c r="K76" s="190" t="s">
        <v>48</v>
      </c>
      <c r="L76" s="204">
        <f>-K70</f>
        <v>-6648250000</v>
      </c>
      <c r="M76" s="191"/>
      <c r="X76" s="24"/>
    </row>
    <row r="77" spans="2:25" ht="16.5" thickTop="1" thickBot="1" x14ac:dyDescent="0.3">
      <c r="G77" s="202"/>
      <c r="H77" s="202"/>
      <c r="I77" s="202"/>
      <c r="J77" s="190"/>
      <c r="K77" s="205" t="s">
        <v>167</v>
      </c>
      <c r="L77" s="204">
        <f>L73+L74+L75+L76</f>
        <v>304947570</v>
      </c>
      <c r="M77" s="189"/>
      <c r="X77" s="2"/>
    </row>
    <row r="78" spans="2:25" ht="15.75" hidden="1" thickTop="1" x14ac:dyDescent="0.25">
      <c r="C78" s="28"/>
      <c r="D78" s="28"/>
      <c r="E78" s="28"/>
      <c r="G78" s="167" t="s">
        <v>147</v>
      </c>
      <c r="H78" s="168">
        <f>SUM(K29:K41,O29:O41)</f>
        <v>7923876000</v>
      </c>
      <c r="I78" s="167" t="s">
        <v>146</v>
      </c>
      <c r="M78" s="2"/>
      <c r="N78" s="4" t="s">
        <v>5</v>
      </c>
      <c r="X78" s="2"/>
    </row>
    <row r="79" spans="2:25" ht="15.75" hidden="1" thickTop="1" x14ac:dyDescent="0.25">
      <c r="G79" s="80"/>
      <c r="H79" s="2"/>
      <c r="J79" s="24"/>
      <c r="K79" s="44" t="s">
        <v>166</v>
      </c>
      <c r="L79" s="44" t="s">
        <v>157</v>
      </c>
      <c r="M79" s="77" t="s">
        <v>165</v>
      </c>
      <c r="N79" s="7">
        <f>L80+M80</f>
        <v>3062580000</v>
      </c>
      <c r="X79" s="24"/>
      <c r="Y79" s="2"/>
    </row>
    <row r="80" spans="2:25" ht="15.75" hidden="1" thickTop="1" x14ac:dyDescent="0.25">
      <c r="C80" s="28"/>
      <c r="D80" s="28"/>
      <c r="E80" s="28"/>
      <c r="K80" s="222">
        <v>46023</v>
      </c>
      <c r="L80" s="7">
        <f>SUM(Z31,Z38:Z41)</f>
        <v>510430000</v>
      </c>
      <c r="M80" s="7">
        <f>SUM(K31,K38:K41)</f>
        <v>2552150000</v>
      </c>
      <c r="N80" s="7">
        <f>L81+M81</f>
        <v>2692265000</v>
      </c>
    </row>
    <row r="81" spans="8:14" ht="15.75" hidden="1" thickTop="1" x14ac:dyDescent="0.25">
      <c r="H81" s="1">
        <v>130000000</v>
      </c>
      <c r="K81" s="222">
        <v>46054</v>
      </c>
      <c r="L81" s="7">
        <f>SUM(Z32:Z33,Z42)</f>
        <v>352002500</v>
      </c>
      <c r="M81" s="7">
        <f>SUM(K32:K33,K42)</f>
        <v>2340262500</v>
      </c>
      <c r="N81" s="8">
        <f>SUM(N79:N80)</f>
        <v>5754845000</v>
      </c>
    </row>
    <row r="82" spans="8:14" ht="15.75" hidden="1" thickTop="1" x14ac:dyDescent="0.25">
      <c r="K82" s="44" t="s">
        <v>157</v>
      </c>
      <c r="L82" s="8">
        <f>SUM(L80:L81)</f>
        <v>862432500</v>
      </c>
      <c r="M82" s="8">
        <f>SUM(M80:M81)</f>
        <v>4892412500</v>
      </c>
    </row>
    <row r="83" spans="8:14" ht="15.75" hidden="1" thickTop="1" x14ac:dyDescent="0.25">
      <c r="K83" s="224"/>
      <c r="L83" s="225"/>
      <c r="N83" s="7">
        <f>L84+M84</f>
        <v>3312705000</v>
      </c>
    </row>
    <row r="84" spans="8:14" ht="15.75" hidden="1" thickTop="1" x14ac:dyDescent="0.25">
      <c r="K84" s="222" t="s">
        <v>163</v>
      </c>
      <c r="L84" s="223">
        <f>SUM(AA35:AA37,AA43:AA49)</f>
        <v>501867500</v>
      </c>
      <c r="M84" s="223">
        <f>SUM(K35:K37,K43:K49)</f>
        <v>2810837500</v>
      </c>
      <c r="N84" s="8">
        <f>N81+N83</f>
        <v>9067550000</v>
      </c>
    </row>
    <row r="85" spans="8:14" ht="15.75" hidden="1" thickTop="1" x14ac:dyDescent="0.25">
      <c r="K85" s="14" t="s">
        <v>164</v>
      </c>
      <c r="L85" s="8">
        <f>L82+L84</f>
        <v>1364300000</v>
      </c>
      <c r="M85" s="8">
        <f>M82+M84</f>
        <v>7703250000</v>
      </c>
    </row>
    <row r="86" spans="8:14" ht="15.75" thickTop="1" x14ac:dyDescent="0.25"/>
    <row r="87" spans="8:14" x14ac:dyDescent="0.25">
      <c r="N87" s="2"/>
    </row>
  </sheetData>
  <autoFilter ref="A10:AH49" xr:uid="{0584D897-46E4-45A3-9B3F-2C2CF2DE4EE4}"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43">
    <mergeCell ref="M33:M34"/>
    <mergeCell ref="N33:N34"/>
    <mergeCell ref="O33:O34"/>
    <mergeCell ref="AL10:AL11"/>
    <mergeCell ref="A33:A34"/>
    <mergeCell ref="B33:B34"/>
    <mergeCell ref="C33:C34"/>
    <mergeCell ref="F33:F34"/>
    <mergeCell ref="G33:G34"/>
    <mergeCell ref="I33:I34"/>
    <mergeCell ref="J33:J34"/>
    <mergeCell ref="K33:K34"/>
    <mergeCell ref="L33:L34"/>
    <mergeCell ref="AF10:AF11"/>
    <mergeCell ref="AG10:AG11"/>
    <mergeCell ref="AH10:AH11"/>
    <mergeCell ref="AI10:AI11"/>
    <mergeCell ref="AJ10:AJ11"/>
    <mergeCell ref="AK10:AK11"/>
    <mergeCell ref="Z10:Z11"/>
    <mergeCell ref="AA10:AA11"/>
    <mergeCell ref="AB10:AB11"/>
    <mergeCell ref="AC10:AC11"/>
    <mergeCell ref="AD10:AD11"/>
    <mergeCell ref="AE10:AE11"/>
    <mergeCell ref="Y10:Y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V10"/>
    <mergeCell ref="X10:X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826B2-D9CE-46A1-B607-AE3A93296EAF}">
  <sheetPr>
    <tabColor rgb="FF00B050"/>
  </sheetPr>
  <dimension ref="A1:AM88"/>
  <sheetViews>
    <sheetView showGridLines="0" topLeftCell="A10" zoomScale="85" zoomScaleNormal="85" workbookViewId="0">
      <pane xSplit="5" ySplit="2" topLeftCell="F65" activePane="bottomRight" state="frozen"/>
      <selection activeCell="E37" sqref="E37"/>
      <selection pane="topRight" activeCell="E37" sqref="E37"/>
      <selection pane="bottomLeft" activeCell="E37" sqref="E37"/>
      <selection pane="bottomRight" activeCell="E37" sqref="E37"/>
    </sheetView>
  </sheetViews>
  <sheetFormatPr defaultColWidth="8.85546875" defaultRowHeight="15" outlineLevelCol="1" x14ac:dyDescent="0.25"/>
  <cols>
    <col min="1" max="1" width="3.85546875" bestFit="1" customWidth="1"/>
    <col min="2" max="2" width="24.42578125" customWidth="1"/>
    <col min="3" max="3" width="16.140625" style="29" bestFit="1" customWidth="1"/>
    <col min="4" max="5" width="16.140625" style="29" customWidth="1"/>
    <col min="6" max="6" width="38.140625" bestFit="1" customWidth="1"/>
    <col min="7" max="7" width="20.7109375" bestFit="1" customWidth="1"/>
    <col min="8" max="8" width="27.7109375" bestFit="1" customWidth="1"/>
    <col min="9" max="9" width="22.85546875" customWidth="1"/>
    <col min="10" max="10" width="22.85546875" bestFit="1" customWidth="1"/>
    <col min="11" max="12" width="24.85546875" bestFit="1" customWidth="1"/>
    <col min="13" max="13" width="26.7109375" customWidth="1"/>
    <col min="14" max="14" width="21.140625" bestFit="1" customWidth="1"/>
    <col min="15" max="15" width="20.7109375" bestFit="1" customWidth="1"/>
    <col min="16" max="16" width="3.7109375" hidden="1" customWidth="1" outlineLevel="1"/>
    <col min="17" max="17" width="4.5703125" hidden="1" customWidth="1" outlineLevel="1"/>
    <col min="18" max="18" width="14.28515625" hidden="1" customWidth="1" outlineLevel="1"/>
    <col min="19" max="19" width="4" hidden="1" customWidth="1" outlineLevel="1"/>
    <col min="20" max="20" width="4.5703125" hidden="1" customWidth="1" outlineLevel="1"/>
    <col min="21" max="21" width="5.5703125" hidden="1" customWidth="1" outlineLevel="1"/>
    <col min="22" max="22" width="4.5703125" hidden="1" customWidth="1" outlineLevel="1"/>
    <col min="23" max="23" width="29.85546875" hidden="1" customWidth="1" outlineLevel="1"/>
    <col min="24" max="24" width="13.85546875" bestFit="1" customWidth="1" collapsed="1"/>
    <col min="25" max="25" width="13.42578125" customWidth="1"/>
    <col min="26" max="26" width="21.140625" bestFit="1" customWidth="1"/>
    <col min="27" max="27" width="19.140625" bestFit="1" customWidth="1"/>
    <col min="28" max="28" width="12.42578125" customWidth="1"/>
    <col min="29" max="29" width="11.85546875" customWidth="1"/>
    <col min="30" max="32" width="14.42578125" customWidth="1"/>
    <col min="33" max="33" width="16.7109375" hidden="1" customWidth="1"/>
    <col min="34" max="34" width="24.85546875" bestFit="1" customWidth="1"/>
    <col min="35" max="35" width="24.5703125" customWidth="1"/>
    <col min="36" max="37" width="12.5703125" hidden="1" customWidth="1"/>
    <col min="38" max="38" width="11.5703125" hidden="1" customWidth="1"/>
  </cols>
  <sheetData>
    <row r="1" spans="1:38" ht="15.75" x14ac:dyDescent="0.25">
      <c r="C1" s="47" t="s">
        <v>33</v>
      </c>
      <c r="D1" s="47"/>
      <c r="E1" s="47"/>
    </row>
    <row r="2" spans="1:38" ht="9.75" customHeight="1" x14ac:dyDescent="0.25">
      <c r="C2" s="28"/>
      <c r="D2" s="28"/>
      <c r="E2" s="28"/>
    </row>
    <row r="3" spans="1:38" x14ac:dyDescent="0.25">
      <c r="C3" s="45"/>
      <c r="D3" s="249"/>
      <c r="E3" s="249"/>
    </row>
    <row r="4" spans="1:38" x14ac:dyDescent="0.25">
      <c r="C4" s="46"/>
      <c r="D4" s="250"/>
      <c r="E4" s="250"/>
    </row>
    <row r="5" spans="1:38" x14ac:dyDescent="0.25">
      <c r="C5" s="43"/>
      <c r="D5" s="251"/>
      <c r="E5" s="251"/>
    </row>
    <row r="6" spans="1:38" x14ac:dyDescent="0.25">
      <c r="C6" s="44"/>
      <c r="D6" s="28"/>
      <c r="E6" s="28"/>
    </row>
    <row r="7" spans="1:38" x14ac:dyDescent="0.25">
      <c r="C7" s="122"/>
      <c r="D7" s="126"/>
      <c r="E7" s="126"/>
      <c r="G7">
        <f>Detail!E2</f>
        <v>4</v>
      </c>
      <c r="I7">
        <f>Detail!F2</f>
        <v>5</v>
      </c>
      <c r="J7">
        <f>Detail!G2</f>
        <v>6</v>
      </c>
      <c r="K7">
        <f>Detail!H2</f>
        <v>7</v>
      </c>
      <c r="M7">
        <f>Detail!I2</f>
        <v>8</v>
      </c>
    </row>
    <row r="8" spans="1:38" x14ac:dyDescent="0.25">
      <c r="C8" s="149"/>
      <c r="D8" s="252"/>
      <c r="E8" s="252"/>
    </row>
    <row r="10" spans="1:38" ht="15" customHeight="1" x14ac:dyDescent="0.25">
      <c r="A10" s="321" t="s">
        <v>78</v>
      </c>
      <c r="B10" s="320" t="s">
        <v>22</v>
      </c>
      <c r="C10" s="321" t="s">
        <v>1</v>
      </c>
      <c r="D10" s="325" t="s">
        <v>62</v>
      </c>
      <c r="E10" s="325" t="s">
        <v>190</v>
      </c>
      <c r="F10" s="322" t="s">
        <v>55</v>
      </c>
      <c r="G10" s="320" t="str">
        <f>Detail!E3</f>
        <v>Qty</v>
      </c>
      <c r="H10" s="324" t="s">
        <v>59</v>
      </c>
      <c r="I10" s="320" t="str">
        <f>Detail!F3</f>
        <v>Harga</v>
      </c>
      <c r="J10" s="320" t="s">
        <v>29</v>
      </c>
      <c r="K10" s="320" t="s">
        <v>7</v>
      </c>
      <c r="L10" s="320" t="s">
        <v>28</v>
      </c>
      <c r="M10" s="320" t="str">
        <f>Detail!I3</f>
        <v>Margin</v>
      </c>
      <c r="N10" s="320" t="s">
        <v>19</v>
      </c>
      <c r="O10" s="324" t="s">
        <v>67</v>
      </c>
      <c r="P10" s="336" t="s">
        <v>23</v>
      </c>
      <c r="Q10" s="337"/>
      <c r="R10" s="337"/>
      <c r="S10" s="337"/>
      <c r="T10" s="337"/>
      <c r="U10" s="337"/>
      <c r="V10" s="338"/>
      <c r="W10" s="25"/>
      <c r="X10" s="328" t="s">
        <v>52</v>
      </c>
      <c r="Y10" s="328" t="s">
        <v>34</v>
      </c>
      <c r="Z10" s="331" t="s">
        <v>8</v>
      </c>
      <c r="AA10" s="328" t="s">
        <v>31</v>
      </c>
      <c r="AB10" s="333" t="s">
        <v>54</v>
      </c>
      <c r="AC10" s="331" t="s">
        <v>53</v>
      </c>
      <c r="AD10" s="333" t="s">
        <v>159</v>
      </c>
      <c r="AE10" s="333" t="s">
        <v>182</v>
      </c>
      <c r="AF10" s="333" t="s">
        <v>169</v>
      </c>
      <c r="AG10" s="325" t="s">
        <v>62</v>
      </c>
      <c r="AH10" s="325" t="s">
        <v>66</v>
      </c>
      <c r="AI10" s="325" t="s">
        <v>66</v>
      </c>
      <c r="AJ10" s="320" t="s">
        <v>109</v>
      </c>
      <c r="AK10" s="335" t="s">
        <v>127</v>
      </c>
      <c r="AL10" s="320" t="s">
        <v>110</v>
      </c>
    </row>
    <row r="11" spans="1:38" ht="29.25" customHeight="1" x14ac:dyDescent="0.25">
      <c r="A11" s="321"/>
      <c r="B11" s="320"/>
      <c r="C11" s="321"/>
      <c r="D11" s="325"/>
      <c r="E11" s="325"/>
      <c r="F11" s="323"/>
      <c r="G11" s="320"/>
      <c r="H11" s="323"/>
      <c r="I11" s="320"/>
      <c r="J11" s="320"/>
      <c r="K11" s="320"/>
      <c r="L11" s="320"/>
      <c r="M11" s="320"/>
      <c r="N11" s="320"/>
      <c r="O11" s="326"/>
      <c r="P11" s="3" t="s">
        <v>20</v>
      </c>
      <c r="Q11" s="3" t="s">
        <v>21</v>
      </c>
      <c r="R11" s="3" t="s">
        <v>24</v>
      </c>
      <c r="S11" s="3" t="s">
        <v>25</v>
      </c>
      <c r="T11" s="3" t="s">
        <v>26</v>
      </c>
      <c r="U11" s="3" t="s">
        <v>27</v>
      </c>
      <c r="V11" s="3" t="s">
        <v>158</v>
      </c>
      <c r="W11" s="26" t="s">
        <v>57</v>
      </c>
      <c r="X11" s="329"/>
      <c r="Y11" s="330"/>
      <c r="Z11" s="332"/>
      <c r="AA11" s="330"/>
      <c r="AB11" s="334"/>
      <c r="AC11" s="332"/>
      <c r="AD11" s="334"/>
      <c r="AE11" s="334"/>
      <c r="AF11" s="334"/>
      <c r="AG11" s="325"/>
      <c r="AH11" s="325" t="s">
        <v>66</v>
      </c>
      <c r="AI11" s="325" t="s">
        <v>66</v>
      </c>
      <c r="AJ11" s="320"/>
      <c r="AK11" s="335"/>
      <c r="AL11" s="320"/>
    </row>
    <row r="12" spans="1:38" s="59" customFormat="1" x14ac:dyDescent="0.25">
      <c r="A12" s="181">
        <v>1</v>
      </c>
      <c r="B12" s="60">
        <f>VLOOKUP($C12,Detail!$B$4:$Q$21,2,0)</f>
        <v>45839</v>
      </c>
      <c r="C12" s="181">
        <v>5200954145</v>
      </c>
      <c r="D12" s="53" t="s">
        <v>63</v>
      </c>
      <c r="E12" s="56">
        <f>O12+K12</f>
        <v>270000000</v>
      </c>
      <c r="F12" s="53" t="s">
        <v>3</v>
      </c>
      <c r="G12" s="55">
        <f>SUMIF(Detail!$B$4:$B$21,'Summary V.4 (PO833)'!$C12,Detail!$E$4:$E$21)</f>
        <v>2</v>
      </c>
      <c r="H12" s="55"/>
      <c r="I12" s="55">
        <f>VLOOKUP($C12,Detail!$B$4:$Q$21,5,0)</f>
        <v>225000000</v>
      </c>
      <c r="J12" s="55">
        <f t="shared" ref="J12:J29" si="0">G12*I12</f>
        <v>450000000</v>
      </c>
      <c r="K12" s="55">
        <f>SUMIF(Detail!$B$4:$B$21,'Summary V.4 (PO833)'!C12,Detail!$H$4:$H$21)</f>
        <v>225000000</v>
      </c>
      <c r="L12" s="55">
        <f t="shared" ref="L12:L20" si="1">(K12*20%)/G12</f>
        <v>22500000</v>
      </c>
      <c r="M12" s="56">
        <f t="shared" ref="M12:M20" si="2">K12*20%</f>
        <v>45000000</v>
      </c>
      <c r="N12" s="56"/>
      <c r="O12" s="56">
        <f>SUM(M12:N12)</f>
        <v>45000000</v>
      </c>
      <c r="P12" s="56">
        <f>G12</f>
        <v>2</v>
      </c>
      <c r="Q12" s="53"/>
      <c r="R12" s="53"/>
      <c r="S12" s="53"/>
      <c r="T12" s="53"/>
      <c r="U12" s="53"/>
      <c r="V12" s="53"/>
      <c r="W12" s="53"/>
      <c r="X12" s="56">
        <f t="shared" ref="X12:X42" si="3">SUM(P12:U12)</f>
        <v>2</v>
      </c>
      <c r="Y12" s="56">
        <f t="shared" ref="Y12:Y27" si="4">G12-X12</f>
        <v>0</v>
      </c>
      <c r="Z12" s="55">
        <f t="shared" ref="Z12:Z26" si="5">L12*X12</f>
        <v>45000000</v>
      </c>
      <c r="AA12" s="56">
        <f t="shared" ref="AA12:AA26" si="6">M12-Z12</f>
        <v>0</v>
      </c>
      <c r="AB12" s="60">
        <v>45861</v>
      </c>
      <c r="AC12" s="60">
        <v>45863</v>
      </c>
      <c r="AD12" s="58">
        <v>45894</v>
      </c>
      <c r="AE12" s="58"/>
      <c r="AF12" s="58"/>
      <c r="AG12" s="53" t="s">
        <v>63</v>
      </c>
      <c r="AH12" s="53"/>
      <c r="AI12" s="53"/>
      <c r="AJ12" s="183">
        <f>VLOOKUP(C12,investasi!$B$5:$G$18,6,0)</f>
        <v>45000000</v>
      </c>
      <c r="AK12" s="184">
        <f t="shared" ref="AK12:AK27" si="7">O12</f>
        <v>45000000</v>
      </c>
      <c r="AL12" s="184">
        <f>AJ12-AK12</f>
        <v>0</v>
      </c>
    </row>
    <row r="13" spans="1:38" s="59" customFormat="1" x14ac:dyDescent="0.25">
      <c r="A13" s="181">
        <v>2</v>
      </c>
      <c r="B13" s="60">
        <f>VLOOKUP($C13,Detail!$B$4:$Q$21,2,0)</f>
        <v>45839</v>
      </c>
      <c r="C13" s="181">
        <v>5200954149</v>
      </c>
      <c r="D13" s="53" t="s">
        <v>63</v>
      </c>
      <c r="E13" s="56">
        <f t="shared" ref="E13:E31" si="8">O13+K13</f>
        <v>405000000</v>
      </c>
      <c r="F13" s="53" t="s">
        <v>3</v>
      </c>
      <c r="G13" s="55">
        <f>SUMIF(Detail!$B$4:$B$21,'Summary V.4 (PO833)'!$C13,Detail!$E$4:$E$21)</f>
        <v>3</v>
      </c>
      <c r="H13" s="55"/>
      <c r="I13" s="55">
        <f>VLOOKUP($C13,Detail!$B$4:$Q$21,5,0)</f>
        <v>225000000</v>
      </c>
      <c r="J13" s="55">
        <f t="shared" si="0"/>
        <v>675000000</v>
      </c>
      <c r="K13" s="55">
        <f>SUMIF(Detail!$B$4:$B$21,'Summary V.4 (PO833)'!C13,Detail!$H$4:$H$21)</f>
        <v>337500000</v>
      </c>
      <c r="L13" s="55">
        <f t="shared" si="1"/>
        <v>22500000</v>
      </c>
      <c r="M13" s="56">
        <f t="shared" si="2"/>
        <v>67500000</v>
      </c>
      <c r="N13" s="56"/>
      <c r="O13" s="56">
        <f t="shared" ref="O13:O18" si="9">SUM(M13:N13)</f>
        <v>67500000</v>
      </c>
      <c r="P13" s="56">
        <f>G13</f>
        <v>3</v>
      </c>
      <c r="Q13" s="53"/>
      <c r="R13" s="53"/>
      <c r="S13" s="53"/>
      <c r="T13" s="53"/>
      <c r="U13" s="53"/>
      <c r="V13" s="53"/>
      <c r="W13" s="53"/>
      <c r="X13" s="56">
        <f t="shared" si="3"/>
        <v>3</v>
      </c>
      <c r="Y13" s="56">
        <f t="shared" si="4"/>
        <v>0</v>
      </c>
      <c r="Z13" s="55">
        <f t="shared" si="5"/>
        <v>67500000</v>
      </c>
      <c r="AA13" s="56">
        <f t="shared" si="6"/>
        <v>0</v>
      </c>
      <c r="AB13" s="60">
        <v>45861</v>
      </c>
      <c r="AC13" s="60">
        <v>45863</v>
      </c>
      <c r="AD13" s="58">
        <v>45894</v>
      </c>
      <c r="AE13" s="58"/>
      <c r="AF13" s="58"/>
      <c r="AG13" s="53" t="s">
        <v>63</v>
      </c>
      <c r="AH13" s="53"/>
      <c r="AI13" s="53"/>
      <c r="AJ13" s="183">
        <f>VLOOKUP(C13,investasi!$B$5:$G$18,6,0)</f>
        <v>67500000</v>
      </c>
      <c r="AK13" s="184">
        <f t="shared" si="7"/>
        <v>67500000</v>
      </c>
      <c r="AL13" s="184">
        <f t="shared" ref="AL13:AL29" si="10">AJ13-AK13</f>
        <v>0</v>
      </c>
    </row>
    <row r="14" spans="1:38" s="59" customFormat="1" x14ac:dyDescent="0.25">
      <c r="A14" s="181">
        <v>3</v>
      </c>
      <c r="B14" s="60">
        <f>VLOOKUP($C14,Detail!$B$4:$Q$21,2,0)</f>
        <v>45839</v>
      </c>
      <c r="C14" s="181">
        <v>5200954160</v>
      </c>
      <c r="D14" s="53" t="s">
        <v>63</v>
      </c>
      <c r="E14" s="56">
        <f t="shared" si="8"/>
        <v>405000000</v>
      </c>
      <c r="F14" s="53" t="s">
        <v>3</v>
      </c>
      <c r="G14" s="55">
        <f>SUMIF(Detail!$B$4:$B$21,'Summary V.4 (PO833)'!$C14,Detail!$E$4:$E$21)</f>
        <v>3</v>
      </c>
      <c r="H14" s="55"/>
      <c r="I14" s="55">
        <f>VLOOKUP($C14,Detail!$B$4:$Q$21,5,0)</f>
        <v>225000000</v>
      </c>
      <c r="J14" s="55">
        <f t="shared" si="0"/>
        <v>675000000</v>
      </c>
      <c r="K14" s="55">
        <f>SUMIF(Detail!$B$4:$B$21,'Summary V.4 (PO833)'!C14,Detail!$H$4:$H$21)</f>
        <v>337500000</v>
      </c>
      <c r="L14" s="55">
        <f t="shared" si="1"/>
        <v>22500000</v>
      </c>
      <c r="M14" s="56">
        <f t="shared" si="2"/>
        <v>67500000</v>
      </c>
      <c r="N14" s="56"/>
      <c r="O14" s="56">
        <f t="shared" si="9"/>
        <v>67500000</v>
      </c>
      <c r="P14" s="56">
        <f>G14</f>
        <v>3</v>
      </c>
      <c r="Q14" s="53"/>
      <c r="R14" s="53"/>
      <c r="S14" s="53"/>
      <c r="T14" s="53"/>
      <c r="U14" s="53"/>
      <c r="V14" s="53"/>
      <c r="W14" s="53"/>
      <c r="X14" s="56">
        <f t="shared" si="3"/>
        <v>3</v>
      </c>
      <c r="Y14" s="56">
        <f t="shared" si="4"/>
        <v>0</v>
      </c>
      <c r="Z14" s="55">
        <f t="shared" si="5"/>
        <v>67500000</v>
      </c>
      <c r="AA14" s="56">
        <f t="shared" si="6"/>
        <v>0</v>
      </c>
      <c r="AB14" s="60">
        <v>45861</v>
      </c>
      <c r="AC14" s="60">
        <v>45863</v>
      </c>
      <c r="AD14" s="58">
        <v>45894</v>
      </c>
      <c r="AE14" s="58"/>
      <c r="AF14" s="58"/>
      <c r="AG14" s="53" t="s">
        <v>63</v>
      </c>
      <c r="AH14" s="53"/>
      <c r="AI14" s="53"/>
      <c r="AJ14" s="183">
        <f>VLOOKUP(C14,investasi!$B$5:$G$18,6,0)</f>
        <v>67500000</v>
      </c>
      <c r="AK14" s="184">
        <f t="shared" si="7"/>
        <v>67500000</v>
      </c>
      <c r="AL14" s="184">
        <f t="shared" si="10"/>
        <v>0</v>
      </c>
    </row>
    <row r="15" spans="1:38" s="59" customFormat="1" x14ac:dyDescent="0.25">
      <c r="A15" s="181">
        <v>4</v>
      </c>
      <c r="B15" s="60">
        <f>VLOOKUP($C15,Detail!$B$4:$Q$21,2,0)</f>
        <v>45870</v>
      </c>
      <c r="C15" s="181">
        <v>5200954165</v>
      </c>
      <c r="D15" s="53" t="s">
        <v>63</v>
      </c>
      <c r="E15" s="56">
        <f t="shared" si="8"/>
        <v>405000000</v>
      </c>
      <c r="F15" s="53" t="s">
        <v>3</v>
      </c>
      <c r="G15" s="55">
        <f>SUMIF(Detail!$B$4:$B$21,'Summary V.4 (PO833)'!$C15,Detail!$E$4:$E$21)</f>
        <v>3</v>
      </c>
      <c r="H15" s="55"/>
      <c r="I15" s="55">
        <f>VLOOKUP($C15,Detail!$B$4:$Q$21,5,0)</f>
        <v>225000000</v>
      </c>
      <c r="J15" s="55">
        <f t="shared" si="0"/>
        <v>675000000</v>
      </c>
      <c r="K15" s="55">
        <f>SUMIF(Detail!$B$4:$B$21,'Summary V.4 (PO833)'!C15,Detail!$H$4:$H$21)</f>
        <v>337500000</v>
      </c>
      <c r="L15" s="55">
        <f t="shared" si="1"/>
        <v>22500000</v>
      </c>
      <c r="M15" s="56">
        <f t="shared" si="2"/>
        <v>67500000</v>
      </c>
      <c r="N15" s="56"/>
      <c r="O15" s="56">
        <f t="shared" si="9"/>
        <v>67500000</v>
      </c>
      <c r="P15" s="53"/>
      <c r="Q15" s="56">
        <f>G15</f>
        <v>3</v>
      </c>
      <c r="R15" s="53"/>
      <c r="S15" s="53"/>
      <c r="T15" s="53"/>
      <c r="U15" s="53"/>
      <c r="V15" s="53"/>
      <c r="W15" s="53"/>
      <c r="X15" s="56">
        <f t="shared" si="3"/>
        <v>3</v>
      </c>
      <c r="Y15" s="56">
        <f t="shared" si="4"/>
        <v>0</v>
      </c>
      <c r="Z15" s="55">
        <f t="shared" si="5"/>
        <v>67500000</v>
      </c>
      <c r="AA15" s="56">
        <f t="shared" si="6"/>
        <v>0</v>
      </c>
      <c r="AB15" s="60">
        <v>45868</v>
      </c>
      <c r="AC15" s="60">
        <v>45873</v>
      </c>
      <c r="AD15" s="58">
        <v>45904</v>
      </c>
      <c r="AE15" s="58"/>
      <c r="AF15" s="58"/>
      <c r="AG15" s="53" t="s">
        <v>63</v>
      </c>
      <c r="AH15" s="53"/>
      <c r="AI15" s="53"/>
      <c r="AJ15" s="183">
        <f>VLOOKUP(C15,investasi!$B$5:$G$18,6,0)</f>
        <v>67500000</v>
      </c>
      <c r="AK15" s="184">
        <f t="shared" si="7"/>
        <v>67500000</v>
      </c>
      <c r="AL15" s="184">
        <f t="shared" si="10"/>
        <v>0</v>
      </c>
    </row>
    <row r="16" spans="1:38" s="59" customFormat="1" x14ac:dyDescent="0.25">
      <c r="A16" s="181">
        <v>5</v>
      </c>
      <c r="B16" s="60">
        <f>VLOOKUP($C16,Detail!$B$4:$Q$21,2,0)</f>
        <v>45870</v>
      </c>
      <c r="C16" s="181">
        <v>5200954167</v>
      </c>
      <c r="D16" s="53" t="s">
        <v>63</v>
      </c>
      <c r="E16" s="56">
        <f t="shared" si="8"/>
        <v>405000000</v>
      </c>
      <c r="F16" s="53" t="s">
        <v>3</v>
      </c>
      <c r="G16" s="55">
        <f>SUMIF(Detail!$B$4:$B$21,'Summary V.4 (PO833)'!$C16,Detail!$E$4:$E$21)</f>
        <v>3</v>
      </c>
      <c r="H16" s="55"/>
      <c r="I16" s="55">
        <f>VLOOKUP($C16,Detail!$B$4:$Q$21,5,0)</f>
        <v>225000000</v>
      </c>
      <c r="J16" s="55">
        <f t="shared" si="0"/>
        <v>675000000</v>
      </c>
      <c r="K16" s="55">
        <f>SUMIF(Detail!$B$4:$B$21,'Summary V.4 (PO833)'!C16,Detail!$H$4:$H$21)</f>
        <v>337500000</v>
      </c>
      <c r="L16" s="55">
        <f t="shared" si="1"/>
        <v>22500000</v>
      </c>
      <c r="M16" s="56">
        <f t="shared" si="2"/>
        <v>67500000</v>
      </c>
      <c r="N16" s="56"/>
      <c r="O16" s="56">
        <f t="shared" si="9"/>
        <v>67500000</v>
      </c>
      <c r="P16" s="53"/>
      <c r="Q16" s="56">
        <f>G16</f>
        <v>3</v>
      </c>
      <c r="R16" s="53"/>
      <c r="S16" s="53"/>
      <c r="T16" s="53"/>
      <c r="U16" s="53"/>
      <c r="V16" s="53"/>
      <c r="W16" s="53"/>
      <c r="X16" s="56">
        <f t="shared" si="3"/>
        <v>3</v>
      </c>
      <c r="Y16" s="56">
        <f t="shared" si="4"/>
        <v>0</v>
      </c>
      <c r="Z16" s="55">
        <f t="shared" si="5"/>
        <v>67500000</v>
      </c>
      <c r="AA16" s="56">
        <f t="shared" si="6"/>
        <v>0</v>
      </c>
      <c r="AB16" s="60">
        <v>45868</v>
      </c>
      <c r="AC16" s="60">
        <v>45873</v>
      </c>
      <c r="AD16" s="58">
        <v>45904</v>
      </c>
      <c r="AE16" s="58"/>
      <c r="AF16" s="58"/>
      <c r="AG16" s="53" t="s">
        <v>63</v>
      </c>
      <c r="AH16" s="53"/>
      <c r="AI16" s="53"/>
      <c r="AJ16" s="183">
        <f>VLOOKUP(C16,investasi!$B$5:$G$18,6,0)</f>
        <v>67500000</v>
      </c>
      <c r="AK16" s="184">
        <f t="shared" si="7"/>
        <v>67500000</v>
      </c>
      <c r="AL16" s="184">
        <f t="shared" si="10"/>
        <v>0</v>
      </c>
    </row>
    <row r="17" spans="1:39" s="59" customFormat="1" x14ac:dyDescent="0.25">
      <c r="A17" s="181">
        <v>6</v>
      </c>
      <c r="B17" s="60">
        <f>VLOOKUP($C17,Detail!$B$4:$Q$21,2,0)</f>
        <v>45870</v>
      </c>
      <c r="C17" s="181">
        <v>5200954168</v>
      </c>
      <c r="D17" s="53" t="s">
        <v>63</v>
      </c>
      <c r="E17" s="56">
        <f t="shared" si="8"/>
        <v>270000000</v>
      </c>
      <c r="F17" s="53" t="s">
        <v>3</v>
      </c>
      <c r="G17" s="55">
        <f>SUMIF(Detail!$B$4:$B$21,'Summary V.4 (PO833)'!$C17,Detail!$E$4:$E$21)</f>
        <v>2</v>
      </c>
      <c r="H17" s="55"/>
      <c r="I17" s="55">
        <f>VLOOKUP($C17,Detail!$B$4:$Q$21,5,0)</f>
        <v>225000000</v>
      </c>
      <c r="J17" s="55">
        <f t="shared" si="0"/>
        <v>450000000</v>
      </c>
      <c r="K17" s="55">
        <f>SUMIF(Detail!$B$4:$B$21,'Summary V.4 (PO833)'!C17,Detail!$H$4:$H$21)</f>
        <v>225000000</v>
      </c>
      <c r="L17" s="55">
        <f t="shared" si="1"/>
        <v>22500000</v>
      </c>
      <c r="M17" s="56">
        <f t="shared" si="2"/>
        <v>45000000</v>
      </c>
      <c r="N17" s="56"/>
      <c r="O17" s="56">
        <f t="shared" si="9"/>
        <v>45000000</v>
      </c>
      <c r="P17" s="53"/>
      <c r="Q17" s="56">
        <f>G17</f>
        <v>2</v>
      </c>
      <c r="R17" s="53"/>
      <c r="S17" s="53"/>
      <c r="T17" s="53"/>
      <c r="U17" s="53"/>
      <c r="V17" s="53"/>
      <c r="W17" s="53"/>
      <c r="X17" s="56">
        <f t="shared" si="3"/>
        <v>2</v>
      </c>
      <c r="Y17" s="56">
        <f t="shared" si="4"/>
        <v>0</v>
      </c>
      <c r="Z17" s="55">
        <f t="shared" si="5"/>
        <v>45000000</v>
      </c>
      <c r="AA17" s="56">
        <f t="shared" si="6"/>
        <v>0</v>
      </c>
      <c r="AB17" s="60">
        <v>45868</v>
      </c>
      <c r="AC17" s="60">
        <v>45873</v>
      </c>
      <c r="AD17" s="58">
        <v>45904</v>
      </c>
      <c r="AE17" s="58"/>
      <c r="AF17" s="58"/>
      <c r="AG17" s="53" t="s">
        <v>63</v>
      </c>
      <c r="AH17" s="53"/>
      <c r="AI17" s="53"/>
      <c r="AJ17" s="183">
        <f>VLOOKUP(C17,investasi!$B$5:$G$18,6,0)</f>
        <v>45000000</v>
      </c>
      <c r="AK17" s="184">
        <f t="shared" si="7"/>
        <v>45000000</v>
      </c>
      <c r="AL17" s="184">
        <f t="shared" si="10"/>
        <v>0</v>
      </c>
    </row>
    <row r="18" spans="1:39" s="59" customFormat="1" x14ac:dyDescent="0.25">
      <c r="A18" s="181">
        <v>7</v>
      </c>
      <c r="B18" s="60">
        <f>VLOOKUP($C18,Detail!$B$4:$Q$21,2,0)</f>
        <v>45870</v>
      </c>
      <c r="C18" s="181">
        <v>5200954169</v>
      </c>
      <c r="D18" s="53" t="s">
        <v>63</v>
      </c>
      <c r="E18" s="56">
        <f t="shared" si="8"/>
        <v>270000000</v>
      </c>
      <c r="F18" s="53" t="s">
        <v>3</v>
      </c>
      <c r="G18" s="55">
        <f>SUMIF(Detail!$B$4:$B$21,'Summary V.4 (PO833)'!$C18,Detail!$E$4:$E$21)</f>
        <v>2</v>
      </c>
      <c r="H18" s="55"/>
      <c r="I18" s="55">
        <f>VLOOKUP($C18,Detail!$B$4:$Q$21,5,0)</f>
        <v>225000000</v>
      </c>
      <c r="J18" s="55">
        <f t="shared" si="0"/>
        <v>450000000</v>
      </c>
      <c r="K18" s="55">
        <f>SUMIF(Detail!$B$4:$B$21,'Summary V.4 (PO833)'!C18,Detail!$H$4:$H$21)</f>
        <v>225000000</v>
      </c>
      <c r="L18" s="55">
        <f t="shared" si="1"/>
        <v>22500000</v>
      </c>
      <c r="M18" s="56">
        <f t="shared" si="2"/>
        <v>45000000</v>
      </c>
      <c r="N18" s="56"/>
      <c r="O18" s="56">
        <f t="shared" si="9"/>
        <v>45000000</v>
      </c>
      <c r="P18" s="53"/>
      <c r="Q18" s="56">
        <f>G18</f>
        <v>2</v>
      </c>
      <c r="R18" s="53"/>
      <c r="S18" s="53"/>
      <c r="T18" s="53"/>
      <c r="U18" s="53"/>
      <c r="V18" s="53"/>
      <c r="W18" s="53"/>
      <c r="X18" s="56">
        <f t="shared" si="3"/>
        <v>2</v>
      </c>
      <c r="Y18" s="56">
        <f t="shared" si="4"/>
        <v>0</v>
      </c>
      <c r="Z18" s="55">
        <f t="shared" si="5"/>
        <v>45000000</v>
      </c>
      <c r="AA18" s="56">
        <f t="shared" si="6"/>
        <v>0</v>
      </c>
      <c r="AB18" s="60">
        <v>45868</v>
      </c>
      <c r="AC18" s="60">
        <v>45873</v>
      </c>
      <c r="AD18" s="58">
        <v>45904</v>
      </c>
      <c r="AE18" s="58"/>
      <c r="AF18" s="58"/>
      <c r="AG18" s="53" t="s">
        <v>63</v>
      </c>
      <c r="AH18" s="53"/>
      <c r="AI18" s="53"/>
      <c r="AJ18" s="183">
        <f>VLOOKUP(C18,investasi!$B$5:$G$18,6,0)</f>
        <v>45000000</v>
      </c>
      <c r="AK18" s="184">
        <f t="shared" si="7"/>
        <v>45000000</v>
      </c>
      <c r="AL18" s="184">
        <f t="shared" si="10"/>
        <v>0</v>
      </c>
    </row>
    <row r="19" spans="1:39" s="59" customFormat="1" x14ac:dyDescent="0.25">
      <c r="A19" s="181">
        <v>8</v>
      </c>
      <c r="B19" s="60">
        <f>VLOOKUP($C19,Detail!$B$4:$Q$25,2,0)</f>
        <v>45877</v>
      </c>
      <c r="C19" s="181">
        <v>5200777098</v>
      </c>
      <c r="D19" s="53" t="s">
        <v>63</v>
      </c>
      <c r="E19" s="56">
        <f t="shared" si="8"/>
        <v>689519400</v>
      </c>
      <c r="F19" s="53" t="s">
        <v>44</v>
      </c>
      <c r="G19" s="55">
        <f>SUMIF(Detail!$B$4:$B$25,'Summary V.4 (PO833)'!$C19,Detail!$E$4:$E$25)</f>
        <v>1</v>
      </c>
      <c r="H19" s="55"/>
      <c r="I19" s="55">
        <f>VLOOKUP($C19,Detail!$B$4:$Q$25,5,0)</f>
        <v>1149199000</v>
      </c>
      <c r="J19" s="55">
        <f t="shared" si="0"/>
        <v>1149199000</v>
      </c>
      <c r="K19" s="55">
        <f>SUMIF(Detail!$B$4:$B$25,'Summary V.4 (PO833)'!C19,Detail!$H$4:$H$25)</f>
        <v>574599500</v>
      </c>
      <c r="L19" s="55">
        <f t="shared" si="1"/>
        <v>114919900</v>
      </c>
      <c r="M19" s="56">
        <f t="shared" si="2"/>
        <v>114919900</v>
      </c>
      <c r="N19" s="56"/>
      <c r="O19" s="56">
        <f>SUM(M19:N19)</f>
        <v>114919900</v>
      </c>
      <c r="P19" s="53"/>
      <c r="Q19" s="56">
        <v>0</v>
      </c>
      <c r="R19" s="53">
        <v>1</v>
      </c>
      <c r="S19" s="53"/>
      <c r="T19" s="53"/>
      <c r="U19" s="53"/>
      <c r="V19" s="53"/>
      <c r="W19" s="53"/>
      <c r="X19" s="56">
        <f t="shared" si="3"/>
        <v>1</v>
      </c>
      <c r="Y19" s="56">
        <f t="shared" si="4"/>
        <v>0</v>
      </c>
      <c r="Z19" s="55">
        <f t="shared" si="5"/>
        <v>114919900</v>
      </c>
      <c r="AA19" s="56">
        <f t="shared" si="6"/>
        <v>0</v>
      </c>
      <c r="AB19" s="60">
        <v>45930</v>
      </c>
      <c r="AC19" s="60">
        <f>AB19+7</f>
        <v>45937</v>
      </c>
      <c r="AD19" s="58">
        <f>AC19+30</f>
        <v>45967</v>
      </c>
      <c r="AE19" s="58">
        <f>AC19+60</f>
        <v>45997</v>
      </c>
      <c r="AF19" s="58"/>
      <c r="AG19" s="53" t="s">
        <v>63</v>
      </c>
      <c r="AH19" s="53"/>
      <c r="AI19" s="53"/>
      <c r="AJ19" s="183">
        <f>VLOOKUP(C19,investasi!$B$5:$G$18,6,0)</f>
        <v>57248700</v>
      </c>
      <c r="AK19" s="184">
        <f t="shared" si="7"/>
        <v>114919900</v>
      </c>
      <c r="AL19" s="184">
        <f t="shared" si="10"/>
        <v>-57671200</v>
      </c>
      <c r="AM19" s="59" t="s">
        <v>128</v>
      </c>
    </row>
    <row r="20" spans="1:39" s="59" customFormat="1" x14ac:dyDescent="0.25">
      <c r="A20" s="181">
        <v>9</v>
      </c>
      <c r="B20" s="60">
        <f>VLOOKUP($C20,Detail!$B$4:$Q$25,2,0)</f>
        <v>45877</v>
      </c>
      <c r="C20" s="181">
        <v>5200776987</v>
      </c>
      <c r="D20" s="53" t="s">
        <v>63</v>
      </c>
      <c r="E20" s="56">
        <f t="shared" si="8"/>
        <v>270000000</v>
      </c>
      <c r="F20" s="53" t="s">
        <v>3</v>
      </c>
      <c r="G20" s="55">
        <f>SUMIF(Detail!$B$4:$B$25,'Summary V.4 (PO833)'!$C20,Detail!$E$4:$E$25)</f>
        <v>2</v>
      </c>
      <c r="H20" s="55"/>
      <c r="I20" s="55">
        <f>VLOOKUP($C20,Detail!$B$4:$Q$25,5,0)</f>
        <v>225000000</v>
      </c>
      <c r="J20" s="55">
        <f t="shared" si="0"/>
        <v>450000000</v>
      </c>
      <c r="K20" s="55">
        <f>SUMIF(Detail!$B$4:$B$25,'Summary V.4 (PO833)'!C20,Detail!$H$4:$H$25)</f>
        <v>225000000</v>
      </c>
      <c r="L20" s="55">
        <f t="shared" si="1"/>
        <v>22500000</v>
      </c>
      <c r="M20" s="56">
        <f t="shared" si="2"/>
        <v>45000000</v>
      </c>
      <c r="N20" s="56"/>
      <c r="O20" s="56">
        <f t="shared" ref="O20:O35" si="11">SUM(M20:N20)</f>
        <v>45000000</v>
      </c>
      <c r="P20" s="53"/>
      <c r="Q20" s="56">
        <v>0</v>
      </c>
      <c r="R20" s="53">
        <v>2</v>
      </c>
      <c r="S20" s="53"/>
      <c r="T20" s="53"/>
      <c r="U20" s="53"/>
      <c r="V20" s="53"/>
      <c r="W20" s="53"/>
      <c r="X20" s="56">
        <f t="shared" si="3"/>
        <v>2</v>
      </c>
      <c r="Y20" s="56">
        <f t="shared" si="4"/>
        <v>0</v>
      </c>
      <c r="Z20" s="55">
        <f t="shared" si="5"/>
        <v>45000000</v>
      </c>
      <c r="AA20" s="56">
        <f t="shared" si="6"/>
        <v>0</v>
      </c>
      <c r="AB20" s="60">
        <v>45923</v>
      </c>
      <c r="AC20" s="60">
        <f t="shared" ref="AC20:AC27" si="12">AB20+7</f>
        <v>45930</v>
      </c>
      <c r="AD20" s="58">
        <f t="shared" ref="AD20:AD27" si="13">AC20+30</f>
        <v>45960</v>
      </c>
      <c r="AE20" s="58">
        <f t="shared" ref="AE20:AE27" si="14">AC20+60</f>
        <v>45990</v>
      </c>
      <c r="AF20" s="58"/>
      <c r="AG20" s="53" t="s">
        <v>63</v>
      </c>
      <c r="AH20" s="53"/>
      <c r="AI20" s="53"/>
      <c r="AJ20" s="183">
        <f>VLOOKUP(C20,investasi!$B$5:$G$18,6,0)</f>
        <v>45000000</v>
      </c>
      <c r="AK20" s="184">
        <f t="shared" si="7"/>
        <v>45000000</v>
      </c>
      <c r="AL20" s="184">
        <f t="shared" si="10"/>
        <v>0</v>
      </c>
    </row>
    <row r="21" spans="1:39" s="59" customFormat="1" x14ac:dyDescent="0.25">
      <c r="A21" s="181">
        <v>10</v>
      </c>
      <c r="B21" s="60">
        <f>VLOOKUP($C21,Detail!$B$4:$Q$110,2,0)</f>
        <v>45880</v>
      </c>
      <c r="C21" s="181">
        <v>5200777132</v>
      </c>
      <c r="D21" s="53" t="s">
        <v>63</v>
      </c>
      <c r="E21" s="56">
        <f t="shared" si="8"/>
        <v>457169750</v>
      </c>
      <c r="F21" s="53" t="s">
        <v>50</v>
      </c>
      <c r="G21" s="55">
        <v>20</v>
      </c>
      <c r="H21" s="55"/>
      <c r="I21" s="55">
        <f>VLOOKUP($C21,Detail!$B$4:$Q$25,5,0)</f>
        <v>40457500</v>
      </c>
      <c r="J21" s="55">
        <f t="shared" si="0"/>
        <v>809150000</v>
      </c>
      <c r="K21" s="55">
        <f t="shared" ref="K21:K43" si="15">J21*50%</f>
        <v>404575000</v>
      </c>
      <c r="L21" s="55">
        <f>(K21*13%)/G21</f>
        <v>2629737.5</v>
      </c>
      <c r="M21" s="56">
        <f>K21*13%</f>
        <v>52594750</v>
      </c>
      <c r="N21" s="56"/>
      <c r="O21" s="56">
        <f t="shared" si="11"/>
        <v>52594750</v>
      </c>
      <c r="P21" s="53"/>
      <c r="Q21" s="56">
        <v>0</v>
      </c>
      <c r="R21" s="53"/>
      <c r="S21" s="53">
        <v>20</v>
      </c>
      <c r="T21" s="53"/>
      <c r="U21" s="53"/>
      <c r="V21" s="53"/>
      <c r="W21" s="53"/>
      <c r="X21" s="56">
        <f t="shared" si="3"/>
        <v>20</v>
      </c>
      <c r="Y21" s="56">
        <f t="shared" si="4"/>
        <v>0</v>
      </c>
      <c r="Z21" s="55">
        <f t="shared" si="5"/>
        <v>52594750</v>
      </c>
      <c r="AA21" s="56">
        <f t="shared" si="6"/>
        <v>0</v>
      </c>
      <c r="AB21" s="60">
        <v>45922</v>
      </c>
      <c r="AC21" s="60">
        <f t="shared" si="12"/>
        <v>45929</v>
      </c>
      <c r="AD21" s="58">
        <f t="shared" si="13"/>
        <v>45959</v>
      </c>
      <c r="AE21" s="58">
        <f t="shared" si="14"/>
        <v>45989</v>
      </c>
      <c r="AF21" s="58"/>
      <c r="AG21" s="53" t="s">
        <v>63</v>
      </c>
      <c r="AH21" s="53"/>
      <c r="AI21" s="53"/>
      <c r="AJ21" s="183">
        <f>VLOOKUP(C21,investasi!$B$5:$G$18,6,0)</f>
        <v>52594750</v>
      </c>
      <c r="AK21" s="184">
        <f t="shared" si="7"/>
        <v>52594750</v>
      </c>
      <c r="AL21" s="184">
        <f t="shared" si="10"/>
        <v>0</v>
      </c>
    </row>
    <row r="22" spans="1:39" s="59" customFormat="1" x14ac:dyDescent="0.25">
      <c r="A22" s="181">
        <v>11</v>
      </c>
      <c r="B22" s="60">
        <f>Detail!$C$45</f>
        <v>45891</v>
      </c>
      <c r="C22" s="181">
        <f>Detail!$B$45</f>
        <v>5200972695</v>
      </c>
      <c r="D22" s="53" t="s">
        <v>63</v>
      </c>
      <c r="E22" s="56">
        <f t="shared" si="8"/>
        <v>504000000</v>
      </c>
      <c r="F22" s="53" t="s">
        <v>56</v>
      </c>
      <c r="G22" s="55">
        <v>8</v>
      </c>
      <c r="H22" s="55">
        <v>75000000</v>
      </c>
      <c r="I22" s="55">
        <v>100500000</v>
      </c>
      <c r="J22" s="55">
        <f t="shared" si="0"/>
        <v>804000000</v>
      </c>
      <c r="K22" s="55">
        <f t="shared" si="15"/>
        <v>402000000</v>
      </c>
      <c r="L22" s="55">
        <v>12750000</v>
      </c>
      <c r="M22" s="56">
        <f>G22*L22</f>
        <v>102000000</v>
      </c>
      <c r="N22" s="56"/>
      <c r="O22" s="56">
        <f t="shared" si="11"/>
        <v>102000000</v>
      </c>
      <c r="P22" s="53"/>
      <c r="Q22" s="56">
        <v>0</v>
      </c>
      <c r="R22" s="53">
        <v>8</v>
      </c>
      <c r="S22" s="53"/>
      <c r="T22" s="53"/>
      <c r="U22" s="53"/>
      <c r="V22" s="53"/>
      <c r="W22" s="53" t="s">
        <v>58</v>
      </c>
      <c r="X22" s="56">
        <f t="shared" si="3"/>
        <v>8</v>
      </c>
      <c r="Y22" s="56">
        <f t="shared" si="4"/>
        <v>0</v>
      </c>
      <c r="Z22" s="55">
        <f t="shared" si="5"/>
        <v>102000000</v>
      </c>
      <c r="AA22" s="56">
        <f t="shared" si="6"/>
        <v>0</v>
      </c>
      <c r="AB22" s="60">
        <v>45925</v>
      </c>
      <c r="AC22" s="218">
        <f t="shared" si="12"/>
        <v>45932</v>
      </c>
      <c r="AD22" s="182">
        <f t="shared" si="13"/>
        <v>45962</v>
      </c>
      <c r="AE22" s="58">
        <f t="shared" si="14"/>
        <v>45992</v>
      </c>
      <c r="AF22" s="58"/>
      <c r="AG22" s="53" t="s">
        <v>63</v>
      </c>
      <c r="AH22" s="53"/>
      <c r="AI22" s="53"/>
      <c r="AJ22" s="183">
        <f>VLOOKUP(C22,investasi!$B$5:$G$18,6,0)</f>
        <v>80400000</v>
      </c>
      <c r="AK22" s="184">
        <f t="shared" si="7"/>
        <v>102000000</v>
      </c>
      <c r="AL22" s="184">
        <f t="shared" si="10"/>
        <v>-21600000</v>
      </c>
      <c r="AM22" s="59" t="s">
        <v>113</v>
      </c>
    </row>
    <row r="23" spans="1:39" s="59" customFormat="1" x14ac:dyDescent="0.25">
      <c r="A23" s="181">
        <v>12</v>
      </c>
      <c r="B23" s="60">
        <v>45897</v>
      </c>
      <c r="C23" s="181">
        <f>Detail!B53</f>
        <v>5200777558</v>
      </c>
      <c r="D23" s="53" t="s">
        <v>63</v>
      </c>
      <c r="E23" s="56">
        <f t="shared" si="8"/>
        <v>411000000</v>
      </c>
      <c r="F23" s="59" t="s">
        <v>61</v>
      </c>
      <c r="G23" s="55">
        <v>1</v>
      </c>
      <c r="H23" s="55"/>
      <c r="I23" s="55">
        <f>Detail!F53</f>
        <v>685000000</v>
      </c>
      <c r="J23" s="55">
        <f t="shared" si="0"/>
        <v>685000000</v>
      </c>
      <c r="K23" s="55">
        <f t="shared" si="15"/>
        <v>342500000</v>
      </c>
      <c r="L23" s="55">
        <f t="shared" ref="L23:L33" si="16">(K23*20%)/G23</f>
        <v>68500000</v>
      </c>
      <c r="M23" s="56">
        <f t="shared" ref="M23:M26" si="17">K23*20%</f>
        <v>68500000</v>
      </c>
      <c r="N23" s="56"/>
      <c r="O23" s="56">
        <f t="shared" si="11"/>
        <v>68500000</v>
      </c>
      <c r="P23" s="53"/>
      <c r="Q23" s="56"/>
      <c r="R23" s="53">
        <v>1</v>
      </c>
      <c r="S23" s="53"/>
      <c r="T23" s="53"/>
      <c r="U23" s="53"/>
      <c r="V23" s="53"/>
      <c r="W23" s="53"/>
      <c r="X23" s="56">
        <f t="shared" si="3"/>
        <v>1</v>
      </c>
      <c r="Y23" s="56">
        <f t="shared" si="4"/>
        <v>0</v>
      </c>
      <c r="Z23" s="55">
        <f t="shared" si="5"/>
        <v>68500000</v>
      </c>
      <c r="AA23" s="56">
        <f t="shared" si="6"/>
        <v>0</v>
      </c>
      <c r="AB23" s="60">
        <v>45923</v>
      </c>
      <c r="AC23" s="218">
        <f t="shared" si="12"/>
        <v>45930</v>
      </c>
      <c r="AD23" s="182">
        <f t="shared" si="13"/>
        <v>45960</v>
      </c>
      <c r="AE23" s="58">
        <f t="shared" si="14"/>
        <v>45990</v>
      </c>
      <c r="AF23" s="58"/>
      <c r="AG23" s="53" t="s">
        <v>63</v>
      </c>
      <c r="AH23" s="53"/>
      <c r="AI23" s="53"/>
      <c r="AJ23" s="183">
        <f>VLOOKUP(C23,investasi!$B$5:$G$18,6,0)</f>
        <v>68500000</v>
      </c>
      <c r="AK23" s="184">
        <f t="shared" si="7"/>
        <v>68500000</v>
      </c>
      <c r="AL23" s="184">
        <f t="shared" si="10"/>
        <v>0</v>
      </c>
    </row>
    <row r="24" spans="1:39" s="59" customFormat="1" x14ac:dyDescent="0.25">
      <c r="A24" s="181">
        <v>13</v>
      </c>
      <c r="B24" s="60">
        <v>45901</v>
      </c>
      <c r="C24" s="181">
        <f>Detail!B54</f>
        <v>5200777559</v>
      </c>
      <c r="D24" s="53" t="s">
        <v>63</v>
      </c>
      <c r="E24" s="56">
        <f t="shared" si="8"/>
        <v>270000000</v>
      </c>
      <c r="F24" s="53" t="s">
        <v>3</v>
      </c>
      <c r="G24" s="55">
        <v>2</v>
      </c>
      <c r="H24" s="55"/>
      <c r="I24" s="55">
        <f>Detail!F54</f>
        <v>225000000</v>
      </c>
      <c r="J24" s="55">
        <f t="shared" si="0"/>
        <v>450000000</v>
      </c>
      <c r="K24" s="55">
        <f t="shared" si="15"/>
        <v>225000000</v>
      </c>
      <c r="L24" s="55">
        <f t="shared" si="16"/>
        <v>22500000</v>
      </c>
      <c r="M24" s="56">
        <f>K24*20%</f>
        <v>45000000</v>
      </c>
      <c r="N24" s="56"/>
      <c r="O24" s="56">
        <f t="shared" si="11"/>
        <v>45000000</v>
      </c>
      <c r="P24" s="53"/>
      <c r="Q24" s="56"/>
      <c r="R24" s="53">
        <v>2</v>
      </c>
      <c r="S24" s="53"/>
      <c r="T24" s="53"/>
      <c r="U24" s="53"/>
      <c r="V24" s="53"/>
      <c r="W24" s="53"/>
      <c r="X24" s="56">
        <f t="shared" si="3"/>
        <v>2</v>
      </c>
      <c r="Y24" s="56">
        <f t="shared" si="4"/>
        <v>0</v>
      </c>
      <c r="Z24" s="55">
        <f t="shared" si="5"/>
        <v>45000000</v>
      </c>
      <c r="AA24" s="56">
        <f t="shared" si="6"/>
        <v>0</v>
      </c>
      <c r="AB24" s="218">
        <v>45925</v>
      </c>
      <c r="AC24" s="218">
        <f t="shared" si="12"/>
        <v>45932</v>
      </c>
      <c r="AD24" s="182">
        <f t="shared" si="13"/>
        <v>45962</v>
      </c>
      <c r="AE24" s="58">
        <f t="shared" si="14"/>
        <v>45992</v>
      </c>
      <c r="AF24" s="58"/>
      <c r="AG24" s="53" t="s">
        <v>63</v>
      </c>
      <c r="AH24" s="55"/>
      <c r="AI24" s="55"/>
      <c r="AJ24" s="183">
        <f>VLOOKUP(C24,investasi!$B$5:$G$18,6,0)</f>
        <v>45000000</v>
      </c>
      <c r="AK24" s="184">
        <f t="shared" si="7"/>
        <v>45000000</v>
      </c>
      <c r="AL24" s="184">
        <f t="shared" si="10"/>
        <v>0</v>
      </c>
    </row>
    <row r="25" spans="1:39" s="59" customFormat="1" x14ac:dyDescent="0.25">
      <c r="A25" s="181">
        <v>14</v>
      </c>
      <c r="B25" s="60">
        <v>45909</v>
      </c>
      <c r="C25" s="181">
        <f>Detail!$B$56</f>
        <v>5200777758</v>
      </c>
      <c r="D25" s="53" t="s">
        <v>63</v>
      </c>
      <c r="E25" s="56">
        <f t="shared" si="8"/>
        <v>1338628920</v>
      </c>
      <c r="F25" s="53" t="s">
        <v>64</v>
      </c>
      <c r="G25" s="55">
        <v>1</v>
      </c>
      <c r="H25" s="55"/>
      <c r="I25" s="55">
        <f>Detail!F56</f>
        <v>2231048200</v>
      </c>
      <c r="J25" s="55">
        <f t="shared" si="0"/>
        <v>2231048200</v>
      </c>
      <c r="K25" s="55">
        <f t="shared" si="15"/>
        <v>1115524100</v>
      </c>
      <c r="L25" s="55">
        <f t="shared" si="16"/>
        <v>223104820</v>
      </c>
      <c r="M25" s="56">
        <f t="shared" si="17"/>
        <v>223104820</v>
      </c>
      <c r="N25" s="56"/>
      <c r="O25" s="56">
        <f t="shared" si="11"/>
        <v>223104820</v>
      </c>
      <c r="P25" s="53"/>
      <c r="Q25" s="56"/>
      <c r="R25" s="53">
        <v>1</v>
      </c>
      <c r="S25" s="53"/>
      <c r="T25" s="53"/>
      <c r="U25" s="53"/>
      <c r="V25" s="53"/>
      <c r="W25" s="53"/>
      <c r="X25" s="56">
        <f t="shared" si="3"/>
        <v>1</v>
      </c>
      <c r="Y25" s="56">
        <f t="shared" si="4"/>
        <v>0</v>
      </c>
      <c r="Z25" s="55">
        <f t="shared" si="5"/>
        <v>223104820</v>
      </c>
      <c r="AA25" s="56">
        <f t="shared" si="6"/>
        <v>0</v>
      </c>
      <c r="AB25" s="218">
        <v>45930</v>
      </c>
      <c r="AC25" s="218">
        <f t="shared" si="12"/>
        <v>45937</v>
      </c>
      <c r="AD25" s="182">
        <f t="shared" si="13"/>
        <v>45967</v>
      </c>
      <c r="AE25" s="58">
        <f t="shared" si="14"/>
        <v>45997</v>
      </c>
      <c r="AF25" s="58"/>
      <c r="AG25" s="53" t="s">
        <v>63</v>
      </c>
      <c r="AH25" s="53"/>
      <c r="AI25" s="53"/>
      <c r="AJ25" s="183">
        <f>VLOOKUP(C25,investasi!$B$5:$G$18,6,0)</f>
        <v>223104820</v>
      </c>
      <c r="AK25" s="184">
        <f t="shared" si="7"/>
        <v>223104820</v>
      </c>
      <c r="AL25" s="184">
        <f t="shared" si="10"/>
        <v>0</v>
      </c>
    </row>
    <row r="26" spans="1:39" s="59" customFormat="1" x14ac:dyDescent="0.25">
      <c r="A26" s="181">
        <v>15</v>
      </c>
      <c r="B26" s="60">
        <v>45909</v>
      </c>
      <c r="C26" s="181">
        <f>Detail!$B$58</f>
        <v>5200778319</v>
      </c>
      <c r="D26" s="53" t="s">
        <v>63</v>
      </c>
      <c r="E26" s="56">
        <f t="shared" si="8"/>
        <v>270000000</v>
      </c>
      <c r="F26" s="53" t="str">
        <f>Detail!$D$58</f>
        <v>Top Frame 800</v>
      </c>
      <c r="G26" s="55">
        <v>2</v>
      </c>
      <c r="H26" s="55"/>
      <c r="I26" s="55">
        <f>Detail!$F$58</f>
        <v>225000000</v>
      </c>
      <c r="J26" s="55">
        <f t="shared" si="0"/>
        <v>450000000</v>
      </c>
      <c r="K26" s="55">
        <f t="shared" si="15"/>
        <v>225000000</v>
      </c>
      <c r="L26" s="55">
        <f t="shared" si="16"/>
        <v>22500000</v>
      </c>
      <c r="M26" s="56">
        <f t="shared" si="17"/>
        <v>45000000</v>
      </c>
      <c r="N26" s="56"/>
      <c r="O26" s="56">
        <f t="shared" si="11"/>
        <v>45000000</v>
      </c>
      <c r="P26" s="53"/>
      <c r="Q26" s="56"/>
      <c r="R26" s="53">
        <v>2</v>
      </c>
      <c r="S26" s="53"/>
      <c r="T26" s="53"/>
      <c r="U26" s="53"/>
      <c r="V26" s="53"/>
      <c r="W26" s="53"/>
      <c r="X26" s="56">
        <f t="shared" si="3"/>
        <v>2</v>
      </c>
      <c r="Y26" s="56">
        <f t="shared" si="4"/>
        <v>0</v>
      </c>
      <c r="Z26" s="55">
        <f t="shared" si="5"/>
        <v>45000000</v>
      </c>
      <c r="AA26" s="56">
        <f t="shared" si="6"/>
        <v>0</v>
      </c>
      <c r="AB26" s="218">
        <v>45940</v>
      </c>
      <c r="AC26" s="218">
        <f t="shared" si="12"/>
        <v>45947</v>
      </c>
      <c r="AD26" s="182">
        <f t="shared" si="13"/>
        <v>45977</v>
      </c>
      <c r="AE26" s="58">
        <f t="shared" si="14"/>
        <v>46007</v>
      </c>
      <c r="AF26" s="58"/>
      <c r="AG26" s="53" t="s">
        <v>63</v>
      </c>
      <c r="AH26" s="53"/>
      <c r="AI26" s="53"/>
      <c r="AJ26" s="183">
        <f>VLOOKUP(C26,investasi!$B$23:$G$26,6,0)</f>
        <v>45000000</v>
      </c>
      <c r="AK26" s="184">
        <f t="shared" si="7"/>
        <v>45000000</v>
      </c>
      <c r="AL26" s="184">
        <f t="shared" si="10"/>
        <v>0</v>
      </c>
    </row>
    <row r="27" spans="1:39" s="59" customFormat="1" x14ac:dyDescent="0.25">
      <c r="A27" s="181">
        <v>16</v>
      </c>
      <c r="B27" s="60">
        <v>45915</v>
      </c>
      <c r="C27" s="181">
        <v>5200778328</v>
      </c>
      <c r="D27" s="53" t="s">
        <v>63</v>
      </c>
      <c r="E27" s="56">
        <f t="shared" si="8"/>
        <v>477261000</v>
      </c>
      <c r="F27" s="53" t="s">
        <v>61</v>
      </c>
      <c r="G27" s="55">
        <v>1</v>
      </c>
      <c r="H27" s="55"/>
      <c r="I27" s="55">
        <f>Detail!F59</f>
        <v>685000000</v>
      </c>
      <c r="J27" s="55">
        <f t="shared" si="0"/>
        <v>685000000</v>
      </c>
      <c r="K27" s="55">
        <f t="shared" si="15"/>
        <v>342500000</v>
      </c>
      <c r="L27" s="55">
        <f t="shared" si="16"/>
        <v>68500000</v>
      </c>
      <c r="M27" s="56">
        <f>(K27*20%)+H27</f>
        <v>68500000</v>
      </c>
      <c r="N27" s="56">
        <v>66261000</v>
      </c>
      <c r="O27" s="56">
        <f t="shared" si="11"/>
        <v>134761000</v>
      </c>
      <c r="P27" s="53"/>
      <c r="Q27" s="56"/>
      <c r="R27" s="53">
        <v>1</v>
      </c>
      <c r="S27" s="53"/>
      <c r="T27" s="53"/>
      <c r="U27" s="53"/>
      <c r="V27" s="53"/>
      <c r="W27" s="53"/>
      <c r="X27" s="56">
        <f t="shared" si="3"/>
        <v>1</v>
      </c>
      <c r="Y27" s="56">
        <f t="shared" si="4"/>
        <v>0</v>
      </c>
      <c r="Z27" s="55">
        <f>L27*X27+N27</f>
        <v>134761000</v>
      </c>
      <c r="AA27" s="56">
        <f>M27+N27-Z27</f>
        <v>0</v>
      </c>
      <c r="AB27" s="218">
        <v>45940</v>
      </c>
      <c r="AC27" s="218">
        <f t="shared" si="12"/>
        <v>45947</v>
      </c>
      <c r="AD27" s="182">
        <f t="shared" si="13"/>
        <v>45977</v>
      </c>
      <c r="AE27" s="58">
        <f t="shared" si="14"/>
        <v>46007</v>
      </c>
      <c r="AF27" s="58"/>
      <c r="AG27" s="53" t="s">
        <v>63</v>
      </c>
      <c r="AH27" s="53"/>
      <c r="AI27" s="53"/>
      <c r="AJ27" s="183">
        <f>VLOOKUP(C27,investasi!$B$23:$G$26,6,0)+investasi!I24</f>
        <v>134761000</v>
      </c>
      <c r="AK27" s="184">
        <f t="shared" si="7"/>
        <v>134761000</v>
      </c>
      <c r="AL27" s="184">
        <f t="shared" si="10"/>
        <v>0</v>
      </c>
    </row>
    <row r="28" spans="1:39" s="59" customFormat="1" x14ac:dyDescent="0.25">
      <c r="A28" s="181"/>
      <c r="B28" s="60"/>
      <c r="C28" s="45"/>
      <c r="D28" s="53" t="s">
        <v>63</v>
      </c>
      <c r="E28" s="56">
        <f t="shared" si="8"/>
        <v>0</v>
      </c>
      <c r="F28" s="53"/>
      <c r="G28" s="55"/>
      <c r="H28" s="55"/>
      <c r="I28" s="55"/>
      <c r="J28" s="55"/>
      <c r="K28" s="55"/>
      <c r="L28" s="55"/>
      <c r="M28" s="56"/>
      <c r="N28" s="56"/>
      <c r="O28" s="56"/>
      <c r="P28" s="53"/>
      <c r="Q28" s="56"/>
      <c r="R28" s="53"/>
      <c r="S28" s="53"/>
      <c r="T28" s="53"/>
      <c r="U28" s="53"/>
      <c r="V28" s="53"/>
      <c r="W28" s="53"/>
      <c r="X28" s="56">
        <f t="shared" si="3"/>
        <v>0</v>
      </c>
      <c r="Y28" s="56"/>
      <c r="Z28" s="55"/>
      <c r="AA28" s="56"/>
      <c r="AB28" s="218"/>
      <c r="AC28" s="218"/>
      <c r="AD28" s="182"/>
      <c r="AE28" s="58"/>
      <c r="AF28" s="58"/>
      <c r="AG28" s="53" t="s">
        <v>63</v>
      </c>
      <c r="AH28" s="53"/>
      <c r="AI28" s="53"/>
      <c r="AJ28" s="183"/>
      <c r="AK28" s="184"/>
    </row>
    <row r="29" spans="1:39" s="59" customFormat="1" x14ac:dyDescent="0.25">
      <c r="A29" s="181">
        <v>18</v>
      </c>
      <c r="B29" s="60">
        <v>45965</v>
      </c>
      <c r="C29" s="181">
        <f>Detail!B60</f>
        <v>5200779815</v>
      </c>
      <c r="D29" s="53" t="s">
        <v>63</v>
      </c>
      <c r="E29" s="56">
        <f t="shared" si="8"/>
        <v>477261000</v>
      </c>
      <c r="F29" s="53" t="s">
        <v>61</v>
      </c>
      <c r="G29" s="55">
        <v>1</v>
      </c>
      <c r="H29" s="55"/>
      <c r="I29" s="55">
        <f>Detail!F60</f>
        <v>685000000</v>
      </c>
      <c r="J29" s="55">
        <f t="shared" si="0"/>
        <v>685000000</v>
      </c>
      <c r="K29" s="55">
        <f t="shared" si="15"/>
        <v>342500000</v>
      </c>
      <c r="L29" s="55">
        <f t="shared" si="16"/>
        <v>68500000</v>
      </c>
      <c r="M29" s="56">
        <f>(K29*20%)+H29</f>
        <v>68500000</v>
      </c>
      <c r="N29" s="56">
        <v>66261000</v>
      </c>
      <c r="O29" s="56">
        <f t="shared" si="11"/>
        <v>134761000</v>
      </c>
      <c r="P29" s="53"/>
      <c r="Q29" s="56"/>
      <c r="R29" s="53"/>
      <c r="S29" s="53"/>
      <c r="T29" s="53">
        <v>1</v>
      </c>
      <c r="U29" s="53"/>
      <c r="V29" s="53"/>
      <c r="W29" s="53"/>
      <c r="X29" s="56">
        <f t="shared" si="3"/>
        <v>1</v>
      </c>
      <c r="Y29" s="56">
        <f t="shared" ref="Y29:Y42" si="18">G29-X29</f>
        <v>0</v>
      </c>
      <c r="Z29" s="55">
        <f>L29*X29+N29</f>
        <v>134761000</v>
      </c>
      <c r="AA29" s="56">
        <f>M29+N29-Z29</f>
        <v>0</v>
      </c>
      <c r="AB29" s="218">
        <v>45989</v>
      </c>
      <c r="AC29" s="218">
        <v>46008</v>
      </c>
      <c r="AD29" s="218">
        <v>46034</v>
      </c>
      <c r="AE29" s="218">
        <f>AC29+30</f>
        <v>46038</v>
      </c>
      <c r="AF29" s="218">
        <v>46034</v>
      </c>
      <c r="AG29" s="53" t="s">
        <v>63</v>
      </c>
      <c r="AH29" s="53" t="s">
        <v>168</v>
      </c>
      <c r="AI29" s="53"/>
      <c r="AJ29" s="183">
        <f>VLOOKUP(C29,investasi!$B$23:$G$26,6,0)+investasi!I26</f>
        <v>134761000</v>
      </c>
      <c r="AK29" s="184">
        <f>O29</f>
        <v>134761000</v>
      </c>
      <c r="AL29" s="184">
        <f t="shared" si="10"/>
        <v>0</v>
      </c>
    </row>
    <row r="30" spans="1:39" s="59" customFormat="1" x14ac:dyDescent="0.25">
      <c r="A30" s="181">
        <f>A29+1</f>
        <v>19</v>
      </c>
      <c r="B30" s="60">
        <v>45977</v>
      </c>
      <c r="C30" s="181">
        <v>5200988854</v>
      </c>
      <c r="D30" s="53" t="s">
        <v>63</v>
      </c>
      <c r="E30" s="56">
        <f t="shared" si="8"/>
        <v>449145000</v>
      </c>
      <c r="F30" s="53" t="s">
        <v>114</v>
      </c>
      <c r="G30" s="55">
        <v>150</v>
      </c>
      <c r="H30" s="55"/>
      <c r="I30" s="55">
        <v>4990500</v>
      </c>
      <c r="J30" s="55">
        <f>G30*I30</f>
        <v>748575000</v>
      </c>
      <c r="K30" s="55">
        <f t="shared" si="15"/>
        <v>374287500</v>
      </c>
      <c r="L30" s="55">
        <f t="shared" si="16"/>
        <v>499050</v>
      </c>
      <c r="M30" s="56">
        <f>(K30*20%)+H30</f>
        <v>74857500</v>
      </c>
      <c r="N30" s="56"/>
      <c r="O30" s="56">
        <f t="shared" si="11"/>
        <v>74857500</v>
      </c>
      <c r="P30" s="53"/>
      <c r="Q30" s="56"/>
      <c r="R30" s="53"/>
      <c r="S30" s="53"/>
      <c r="T30" s="53">
        <v>150</v>
      </c>
      <c r="U30" s="53"/>
      <c r="V30" s="53"/>
      <c r="W30" s="53"/>
      <c r="X30" s="56">
        <f t="shared" si="3"/>
        <v>150</v>
      </c>
      <c r="Y30" s="56">
        <f t="shared" si="18"/>
        <v>0</v>
      </c>
      <c r="Z30" s="55">
        <f>L30*X30+N30</f>
        <v>74857500</v>
      </c>
      <c r="AA30" s="56">
        <f>M30+N30-Z30</f>
        <v>0</v>
      </c>
      <c r="AB30" s="218">
        <v>45989</v>
      </c>
      <c r="AC30" s="218">
        <v>46008</v>
      </c>
      <c r="AD30" s="218">
        <v>46034</v>
      </c>
      <c r="AE30" s="218">
        <f>AC30+30</f>
        <v>46038</v>
      </c>
      <c r="AF30" s="218">
        <v>46034</v>
      </c>
      <c r="AG30" s="53" t="s">
        <v>63</v>
      </c>
      <c r="AH30" s="53" t="s">
        <v>168</v>
      </c>
      <c r="AI30" s="53"/>
      <c r="AJ30" s="183"/>
      <c r="AK30" s="184"/>
      <c r="AL30" s="184"/>
    </row>
    <row r="31" spans="1:39" s="245" customFormat="1" ht="14.25" customHeight="1" x14ac:dyDescent="0.25">
      <c r="A31" s="235">
        <f t="shared" ref="A31:A43" si="19">A30+1</f>
        <v>20</v>
      </c>
      <c r="B31" s="236">
        <v>45977</v>
      </c>
      <c r="C31" s="235">
        <v>5200989664</v>
      </c>
      <c r="D31" s="237" t="s">
        <v>63</v>
      </c>
      <c r="E31" s="238">
        <f t="shared" si="8"/>
        <v>1266000000</v>
      </c>
      <c r="F31" s="237" t="s">
        <v>115</v>
      </c>
      <c r="G31" s="238">
        <v>100</v>
      </c>
      <c r="H31" s="238"/>
      <c r="I31" s="238">
        <v>21100000</v>
      </c>
      <c r="J31" s="238">
        <f t="shared" ref="J31:J35" si="20">G31*I31</f>
        <v>2110000000</v>
      </c>
      <c r="K31" s="238">
        <f t="shared" si="15"/>
        <v>1055000000</v>
      </c>
      <c r="L31" s="238">
        <f t="shared" si="16"/>
        <v>2110000</v>
      </c>
      <c r="M31" s="239">
        <f t="shared" ref="M31:M33" si="21">(K31*20%)+H31</f>
        <v>211000000</v>
      </c>
      <c r="N31" s="239"/>
      <c r="O31" s="239">
        <f t="shared" si="11"/>
        <v>211000000</v>
      </c>
      <c r="P31" s="237"/>
      <c r="Q31" s="239"/>
      <c r="R31" s="237"/>
      <c r="S31" s="237"/>
      <c r="T31" s="237"/>
      <c r="U31" s="237">
        <v>100</v>
      </c>
      <c r="V31" s="237"/>
      <c r="W31" s="237"/>
      <c r="X31" s="239">
        <f t="shared" si="3"/>
        <v>100</v>
      </c>
      <c r="Y31" s="239">
        <f t="shared" si="18"/>
        <v>0</v>
      </c>
      <c r="Z31" s="238">
        <f>L31*X31+N31</f>
        <v>211000000</v>
      </c>
      <c r="AA31" s="239">
        <f t="shared" ref="AA31:AA35" si="22">M31+N31-Z31</f>
        <v>0</v>
      </c>
      <c r="AB31" s="236">
        <v>46031</v>
      </c>
      <c r="AC31" s="247">
        <v>46031</v>
      </c>
      <c r="AD31" s="241">
        <f>AB31+30</f>
        <v>46061</v>
      </c>
      <c r="AE31" s="242"/>
      <c r="AF31" s="242"/>
      <c r="AG31" s="237" t="s">
        <v>69</v>
      </c>
      <c r="AH31" s="237"/>
      <c r="AI31" s="237"/>
      <c r="AJ31" s="243"/>
      <c r="AK31" s="244"/>
      <c r="AL31" s="244"/>
    </row>
    <row r="32" spans="1:39" s="40" customFormat="1" ht="14.25" customHeight="1" x14ac:dyDescent="0.25">
      <c r="A32" s="34">
        <f>A31+1</f>
        <v>21</v>
      </c>
      <c r="B32" s="35">
        <v>45977</v>
      </c>
      <c r="C32" s="34">
        <v>5200989665</v>
      </c>
      <c r="D32" s="36" t="s">
        <v>69</v>
      </c>
      <c r="E32" s="36"/>
      <c r="F32" s="36" t="s">
        <v>115</v>
      </c>
      <c r="G32" s="37">
        <v>100</v>
      </c>
      <c r="H32" s="37"/>
      <c r="I32" s="37">
        <v>21100000</v>
      </c>
      <c r="J32" s="37">
        <f t="shared" si="20"/>
        <v>2110000000</v>
      </c>
      <c r="K32" s="37">
        <f t="shared" si="15"/>
        <v>1055000000</v>
      </c>
      <c r="L32" s="37">
        <f t="shared" si="16"/>
        <v>2110000</v>
      </c>
      <c r="M32" s="38">
        <f t="shared" si="21"/>
        <v>211000000</v>
      </c>
      <c r="N32" s="38"/>
      <c r="O32" s="38">
        <f t="shared" si="11"/>
        <v>211000000</v>
      </c>
      <c r="P32" s="36"/>
      <c r="Q32" s="38"/>
      <c r="R32" s="36"/>
      <c r="S32" s="36"/>
      <c r="T32" s="36"/>
      <c r="U32" s="36">
        <v>100</v>
      </c>
      <c r="V32" s="36"/>
      <c r="W32" s="36"/>
      <c r="X32" s="38">
        <f>SUM(P32:V32)</f>
        <v>100</v>
      </c>
      <c r="Y32" s="38">
        <f t="shared" si="18"/>
        <v>0</v>
      </c>
      <c r="Z32" s="37">
        <f>L32*X32+N32</f>
        <v>211000000</v>
      </c>
      <c r="AA32" s="38">
        <f t="shared" si="22"/>
        <v>0</v>
      </c>
      <c r="AB32" s="35">
        <v>46030</v>
      </c>
      <c r="AC32" s="246">
        <v>46030</v>
      </c>
      <c r="AD32" s="41">
        <f>AB32+30</f>
        <v>46060</v>
      </c>
      <c r="AE32" s="39"/>
      <c r="AF32" s="39"/>
      <c r="AG32" s="36" t="s">
        <v>69</v>
      </c>
      <c r="AH32" s="36"/>
      <c r="AI32" s="36"/>
      <c r="AJ32" s="206"/>
      <c r="AK32" s="207"/>
      <c r="AL32" s="207"/>
    </row>
    <row r="33" spans="1:38" s="40" customFormat="1" ht="14.25" customHeight="1" x14ac:dyDescent="0.25">
      <c r="A33" s="347">
        <f t="shared" si="19"/>
        <v>22</v>
      </c>
      <c r="B33" s="349">
        <v>45977</v>
      </c>
      <c r="C33" s="351">
        <v>5200989666</v>
      </c>
      <c r="D33" s="36" t="s">
        <v>69</v>
      </c>
      <c r="E33" s="36"/>
      <c r="F33" s="353" t="s">
        <v>115</v>
      </c>
      <c r="G33" s="355">
        <v>110</v>
      </c>
      <c r="H33" s="37"/>
      <c r="I33" s="345">
        <v>21100000</v>
      </c>
      <c r="J33" s="345">
        <f t="shared" si="20"/>
        <v>2321000000</v>
      </c>
      <c r="K33" s="345">
        <f t="shared" si="15"/>
        <v>1160500000</v>
      </c>
      <c r="L33" s="345">
        <f t="shared" si="16"/>
        <v>2110000</v>
      </c>
      <c r="M33" s="345">
        <f t="shared" si="21"/>
        <v>232100000</v>
      </c>
      <c r="N33" s="345"/>
      <c r="O33" s="345">
        <f t="shared" si="11"/>
        <v>232100000</v>
      </c>
      <c r="P33" s="36"/>
      <c r="Q33" s="38"/>
      <c r="R33" s="36"/>
      <c r="S33" s="36"/>
      <c r="T33" s="36"/>
      <c r="U33" s="36"/>
      <c r="V33" s="36">
        <v>55</v>
      </c>
      <c r="W33" s="36"/>
      <c r="X33" s="38">
        <f>SUM(P33:V33)</f>
        <v>55</v>
      </c>
      <c r="Y33" s="38">
        <v>0</v>
      </c>
      <c r="Z33" s="37">
        <f>L33*X33+N33</f>
        <v>116050000</v>
      </c>
      <c r="AA33" s="38">
        <v>0</v>
      </c>
      <c r="AB33" s="35">
        <v>46027</v>
      </c>
      <c r="AC33" s="219">
        <v>45676</v>
      </c>
      <c r="AD33" s="41">
        <f>AC33+30</f>
        <v>45706</v>
      </c>
      <c r="AE33" s="39"/>
      <c r="AF33" s="39"/>
      <c r="AG33" s="36" t="s">
        <v>69</v>
      </c>
      <c r="AH33" s="36" t="s">
        <v>189</v>
      </c>
      <c r="AI33" s="36"/>
      <c r="AJ33" s="206"/>
      <c r="AK33" s="207"/>
      <c r="AL33" s="207"/>
    </row>
    <row r="34" spans="1:38" s="40" customFormat="1" ht="14.25" customHeight="1" x14ac:dyDescent="0.25">
      <c r="A34" s="348"/>
      <c r="B34" s="350"/>
      <c r="C34" s="352"/>
      <c r="D34" s="36" t="s">
        <v>69</v>
      </c>
      <c r="E34" s="255"/>
      <c r="F34" s="354"/>
      <c r="G34" s="356"/>
      <c r="H34" s="37"/>
      <c r="I34" s="346"/>
      <c r="J34" s="346"/>
      <c r="K34" s="346"/>
      <c r="L34" s="346"/>
      <c r="M34" s="346"/>
      <c r="N34" s="346"/>
      <c r="O34" s="346"/>
      <c r="P34" s="36"/>
      <c r="Q34" s="38"/>
      <c r="R34" s="36"/>
      <c r="S34" s="36"/>
      <c r="T34" s="36"/>
      <c r="U34" s="36"/>
      <c r="V34" s="36">
        <v>55</v>
      </c>
      <c r="W34" s="36"/>
      <c r="X34" s="38">
        <f>SUM(P34:V34)</f>
        <v>55</v>
      </c>
      <c r="Y34" s="38">
        <v>0</v>
      </c>
      <c r="Z34" s="37">
        <f>X34*L33+N33</f>
        <v>116050000</v>
      </c>
      <c r="AA34" s="38">
        <v>0</v>
      </c>
      <c r="AB34" s="35">
        <v>46036</v>
      </c>
      <c r="AC34" s="219">
        <v>45676</v>
      </c>
      <c r="AD34" s="41">
        <f>AC34+30</f>
        <v>45706</v>
      </c>
      <c r="AE34" s="39"/>
      <c r="AF34" s="39"/>
      <c r="AG34" s="36" t="s">
        <v>69</v>
      </c>
      <c r="AH34" s="36" t="s">
        <v>189</v>
      </c>
      <c r="AI34" s="36"/>
      <c r="AJ34" s="206"/>
      <c r="AK34" s="207"/>
      <c r="AL34" s="207"/>
    </row>
    <row r="35" spans="1:38" s="40" customFormat="1" ht="14.25" customHeight="1" x14ac:dyDescent="0.25">
      <c r="A35" s="34">
        <f>A33+1</f>
        <v>23</v>
      </c>
      <c r="B35" s="35">
        <v>45981</v>
      </c>
      <c r="C35" s="34">
        <v>5200992759</v>
      </c>
      <c r="D35" s="36" t="s">
        <v>69</v>
      </c>
      <c r="E35" s="36"/>
      <c r="F35" s="36" t="s">
        <v>60</v>
      </c>
      <c r="G35" s="37">
        <v>6</v>
      </c>
      <c r="H35" s="37"/>
      <c r="I35" s="37">
        <v>100500000</v>
      </c>
      <c r="J35" s="37">
        <f t="shared" si="20"/>
        <v>603000000</v>
      </c>
      <c r="K35" s="37">
        <f t="shared" si="15"/>
        <v>301500000</v>
      </c>
      <c r="L35" s="37">
        <v>12750000</v>
      </c>
      <c r="M35" s="38">
        <f>L35*G35</f>
        <v>76500000</v>
      </c>
      <c r="N35" s="38"/>
      <c r="O35" s="38">
        <f t="shared" si="11"/>
        <v>76500000</v>
      </c>
      <c r="P35" s="36"/>
      <c r="Q35" s="38"/>
      <c r="R35" s="36"/>
      <c r="S35" s="36"/>
      <c r="T35" s="36"/>
      <c r="U35" s="36"/>
      <c r="V35" s="36">
        <v>6</v>
      </c>
      <c r="W35" s="36"/>
      <c r="X35" s="38">
        <f>SUM(P35:V35)</f>
        <v>6</v>
      </c>
      <c r="Y35" s="38">
        <f t="shared" ref="Y35" si="23">G35-X35</f>
        <v>0</v>
      </c>
      <c r="Z35" s="37">
        <f>L35*X35+N35</f>
        <v>76500000</v>
      </c>
      <c r="AA35" s="38">
        <f t="shared" si="22"/>
        <v>0</v>
      </c>
      <c r="AB35" s="35">
        <v>46048</v>
      </c>
      <c r="AC35" s="219">
        <v>46048</v>
      </c>
      <c r="AD35" s="41">
        <f>AC35+30</f>
        <v>46078</v>
      </c>
      <c r="AE35" s="39"/>
      <c r="AF35" s="39"/>
      <c r="AG35" s="36" t="s">
        <v>69</v>
      </c>
      <c r="AH35" s="36" t="s">
        <v>183</v>
      </c>
      <c r="AI35" s="36"/>
      <c r="AJ35" s="206"/>
      <c r="AK35" s="207"/>
      <c r="AL35" s="207"/>
    </row>
    <row r="36" spans="1:38" s="40" customFormat="1" ht="14.25" customHeight="1" x14ac:dyDescent="0.25">
      <c r="A36" s="34">
        <f t="shared" si="19"/>
        <v>24</v>
      </c>
      <c r="B36" s="35">
        <v>45985</v>
      </c>
      <c r="C36" s="34">
        <v>5200991260</v>
      </c>
      <c r="D36" s="36" t="s">
        <v>69</v>
      </c>
      <c r="E36" s="36"/>
      <c r="F36" s="36" t="s">
        <v>114</v>
      </c>
      <c r="G36" s="37">
        <v>150</v>
      </c>
      <c r="H36" s="37"/>
      <c r="I36" s="37">
        <v>4990500</v>
      </c>
      <c r="J36" s="37">
        <f>G36*I36</f>
        <v>748575000</v>
      </c>
      <c r="K36" s="37">
        <f t="shared" si="15"/>
        <v>374287500</v>
      </c>
      <c r="L36" s="37">
        <f t="shared" ref="L36:L43" si="24">(K36*20%)/G36</f>
        <v>499050</v>
      </c>
      <c r="M36" s="38">
        <f>(K36*20%)+H36</f>
        <v>74857500</v>
      </c>
      <c r="N36" s="38"/>
      <c r="O36" s="38">
        <f t="shared" ref="O36:O43" si="25">SUM(M36:N36)</f>
        <v>74857500</v>
      </c>
      <c r="P36" s="36"/>
      <c r="Q36" s="38"/>
      <c r="R36" s="36"/>
      <c r="S36" s="36"/>
      <c r="T36" s="36"/>
      <c r="U36" s="36"/>
      <c r="V36" s="36">
        <f>G36</f>
        <v>150</v>
      </c>
      <c r="W36" s="36"/>
      <c r="X36" s="38">
        <f t="shared" si="3"/>
        <v>0</v>
      </c>
      <c r="Y36" s="38">
        <f t="shared" si="18"/>
        <v>150</v>
      </c>
      <c r="Z36" s="37">
        <f t="shared" ref="Z36:Z42" si="26">L36*X36+N36</f>
        <v>0</v>
      </c>
      <c r="AA36" s="38">
        <f>M36+N36-Z36</f>
        <v>74857500</v>
      </c>
      <c r="AB36" s="35">
        <v>46041</v>
      </c>
      <c r="AC36" s="246">
        <v>46041</v>
      </c>
      <c r="AD36" s="41"/>
      <c r="AE36" s="39">
        <f t="shared" ref="AE36:AE42" si="27">AB36+60</f>
        <v>46101</v>
      </c>
      <c r="AF36" s="39"/>
      <c r="AG36" s="36" t="s">
        <v>69</v>
      </c>
      <c r="AH36" s="36" t="s">
        <v>183</v>
      </c>
      <c r="AI36" s="36"/>
      <c r="AJ36" s="206"/>
      <c r="AK36" s="207"/>
      <c r="AL36" s="207"/>
    </row>
    <row r="37" spans="1:38" s="40" customFormat="1" ht="14.25" customHeight="1" x14ac:dyDescent="0.25">
      <c r="A37" s="34">
        <f t="shared" si="19"/>
        <v>25</v>
      </c>
      <c r="B37" s="35">
        <v>45985</v>
      </c>
      <c r="C37" s="34">
        <v>5200991264</v>
      </c>
      <c r="D37" s="36" t="s">
        <v>69</v>
      </c>
      <c r="E37" s="36"/>
      <c r="F37" s="36" t="s">
        <v>114</v>
      </c>
      <c r="G37" s="37">
        <v>150</v>
      </c>
      <c r="H37" s="37"/>
      <c r="I37" s="37">
        <v>4990500</v>
      </c>
      <c r="J37" s="37">
        <f t="shared" ref="J37:J40" si="28">G37*I37</f>
        <v>748575000</v>
      </c>
      <c r="K37" s="37">
        <f t="shared" si="15"/>
        <v>374287500</v>
      </c>
      <c r="L37" s="37">
        <f t="shared" si="24"/>
        <v>499050</v>
      </c>
      <c r="M37" s="38">
        <f t="shared" ref="M37:M40" si="29">(K37*20%)+H37</f>
        <v>74857500</v>
      </c>
      <c r="N37" s="38"/>
      <c r="O37" s="38">
        <f t="shared" si="25"/>
        <v>74857500</v>
      </c>
      <c r="P37" s="36"/>
      <c r="Q37" s="38"/>
      <c r="R37" s="36"/>
      <c r="S37" s="36"/>
      <c r="T37" s="36"/>
      <c r="U37" s="36"/>
      <c r="V37" s="36">
        <f>G37</f>
        <v>150</v>
      </c>
      <c r="W37" s="36"/>
      <c r="X37" s="38">
        <f t="shared" si="3"/>
        <v>0</v>
      </c>
      <c r="Y37" s="38">
        <f t="shared" si="18"/>
        <v>150</v>
      </c>
      <c r="Z37" s="37">
        <f t="shared" si="26"/>
        <v>0</v>
      </c>
      <c r="AA37" s="38">
        <f t="shared" ref="AA37:AA40" si="30">M37+N37-Z37</f>
        <v>74857500</v>
      </c>
      <c r="AB37" s="35">
        <v>46041</v>
      </c>
      <c r="AC37" s="246">
        <v>46041</v>
      </c>
      <c r="AD37" s="41"/>
      <c r="AE37" s="39">
        <f t="shared" si="27"/>
        <v>46101</v>
      </c>
      <c r="AF37" s="39"/>
      <c r="AG37" s="36" t="s">
        <v>69</v>
      </c>
      <c r="AH37" s="36" t="s">
        <v>183</v>
      </c>
      <c r="AI37" s="36"/>
      <c r="AJ37" s="206"/>
      <c r="AK37" s="207"/>
      <c r="AL37" s="207"/>
    </row>
    <row r="38" spans="1:38" s="40" customFormat="1" ht="14.25" customHeight="1" x14ac:dyDescent="0.25">
      <c r="A38" s="34">
        <f t="shared" si="19"/>
        <v>26</v>
      </c>
      <c r="B38" s="35">
        <v>45986</v>
      </c>
      <c r="C38" s="34">
        <v>5200991456</v>
      </c>
      <c r="D38" s="36" t="s">
        <v>69</v>
      </c>
      <c r="E38" s="36"/>
      <c r="F38" s="36" t="s">
        <v>114</v>
      </c>
      <c r="G38" s="37">
        <v>150</v>
      </c>
      <c r="H38" s="37"/>
      <c r="I38" s="37">
        <v>4990500</v>
      </c>
      <c r="J38" s="37">
        <f t="shared" si="28"/>
        <v>748575000</v>
      </c>
      <c r="K38" s="37">
        <f t="shared" si="15"/>
        <v>374287500</v>
      </c>
      <c r="L38" s="37">
        <f t="shared" si="24"/>
        <v>499050</v>
      </c>
      <c r="M38" s="38">
        <f t="shared" si="29"/>
        <v>74857500</v>
      </c>
      <c r="N38" s="38"/>
      <c r="O38" s="38">
        <f t="shared" si="25"/>
        <v>74857500</v>
      </c>
      <c r="P38" s="36"/>
      <c r="Q38" s="38"/>
      <c r="R38" s="36"/>
      <c r="S38" s="36"/>
      <c r="T38" s="36"/>
      <c r="U38" s="36">
        <f t="shared" ref="U38:U42" si="31">G38</f>
        <v>150</v>
      </c>
      <c r="V38" s="36"/>
      <c r="W38" s="36"/>
      <c r="X38" s="38">
        <f t="shared" si="3"/>
        <v>150</v>
      </c>
      <c r="Y38" s="38">
        <f t="shared" si="18"/>
        <v>0</v>
      </c>
      <c r="Z38" s="37">
        <f t="shared" si="26"/>
        <v>74857500</v>
      </c>
      <c r="AA38" s="38">
        <f t="shared" si="30"/>
        <v>0</v>
      </c>
      <c r="AB38" s="35">
        <v>46036</v>
      </c>
      <c r="AC38" s="246">
        <v>46036</v>
      </c>
      <c r="AD38" s="41"/>
      <c r="AE38" s="39">
        <f t="shared" si="27"/>
        <v>46096</v>
      </c>
      <c r="AF38" s="39"/>
      <c r="AG38" s="36" t="s">
        <v>69</v>
      </c>
      <c r="AH38" s="36"/>
      <c r="AI38" s="36"/>
      <c r="AJ38" s="206"/>
      <c r="AK38" s="207"/>
      <c r="AL38" s="207"/>
    </row>
    <row r="39" spans="1:38" s="40" customFormat="1" ht="14.25" customHeight="1" x14ac:dyDescent="0.25">
      <c r="A39" s="34">
        <f t="shared" si="19"/>
        <v>27</v>
      </c>
      <c r="B39" s="35">
        <v>45986</v>
      </c>
      <c r="C39" s="34">
        <v>5200991458</v>
      </c>
      <c r="D39" s="36" t="s">
        <v>69</v>
      </c>
      <c r="E39" s="36"/>
      <c r="F39" s="36" t="s">
        <v>114</v>
      </c>
      <c r="G39" s="37">
        <v>150</v>
      </c>
      <c r="H39" s="37"/>
      <c r="I39" s="37">
        <v>4990500</v>
      </c>
      <c r="J39" s="37">
        <f t="shared" si="28"/>
        <v>748575000</v>
      </c>
      <c r="K39" s="37">
        <f t="shared" si="15"/>
        <v>374287500</v>
      </c>
      <c r="L39" s="37">
        <f t="shared" si="24"/>
        <v>499050</v>
      </c>
      <c r="M39" s="38">
        <f t="shared" si="29"/>
        <v>74857500</v>
      </c>
      <c r="N39" s="38"/>
      <c r="O39" s="38">
        <f t="shared" si="25"/>
        <v>74857500</v>
      </c>
      <c r="P39" s="36"/>
      <c r="Q39" s="38"/>
      <c r="R39" s="36"/>
      <c r="S39" s="36"/>
      <c r="T39" s="36"/>
      <c r="U39" s="36">
        <f t="shared" si="31"/>
        <v>150</v>
      </c>
      <c r="V39" s="36"/>
      <c r="W39" s="36"/>
      <c r="X39" s="38">
        <f t="shared" si="3"/>
        <v>150</v>
      </c>
      <c r="Y39" s="38">
        <f t="shared" si="18"/>
        <v>0</v>
      </c>
      <c r="Z39" s="37">
        <f t="shared" si="26"/>
        <v>74857500</v>
      </c>
      <c r="AA39" s="38">
        <f t="shared" si="30"/>
        <v>0</v>
      </c>
      <c r="AB39" s="35">
        <v>46036</v>
      </c>
      <c r="AC39" s="246">
        <v>46036</v>
      </c>
      <c r="AD39" s="41"/>
      <c r="AE39" s="39">
        <f t="shared" si="27"/>
        <v>46096</v>
      </c>
      <c r="AF39" s="39"/>
      <c r="AG39" s="36" t="s">
        <v>69</v>
      </c>
      <c r="AH39" s="36"/>
      <c r="AI39" s="36"/>
      <c r="AJ39" s="206"/>
      <c r="AK39" s="207"/>
      <c r="AL39" s="207"/>
    </row>
    <row r="40" spans="1:38" s="40" customFormat="1" ht="14.25" customHeight="1" x14ac:dyDescent="0.25">
      <c r="A40" s="34">
        <f t="shared" si="19"/>
        <v>28</v>
      </c>
      <c r="B40" s="35">
        <v>45986</v>
      </c>
      <c r="C40" s="34">
        <v>5200991502</v>
      </c>
      <c r="D40" s="36" t="s">
        <v>69</v>
      </c>
      <c r="E40" s="36"/>
      <c r="F40" s="36" t="s">
        <v>114</v>
      </c>
      <c r="G40" s="37">
        <v>150</v>
      </c>
      <c r="H40" s="37"/>
      <c r="I40" s="37">
        <v>4990500</v>
      </c>
      <c r="J40" s="37">
        <f t="shared" si="28"/>
        <v>748575000</v>
      </c>
      <c r="K40" s="37">
        <f t="shared" si="15"/>
        <v>374287500</v>
      </c>
      <c r="L40" s="37">
        <f t="shared" si="24"/>
        <v>499050</v>
      </c>
      <c r="M40" s="38">
        <f t="shared" si="29"/>
        <v>74857500</v>
      </c>
      <c r="N40" s="38"/>
      <c r="O40" s="38">
        <f t="shared" si="25"/>
        <v>74857500</v>
      </c>
      <c r="P40" s="36"/>
      <c r="Q40" s="38"/>
      <c r="R40" s="36"/>
      <c r="S40" s="36"/>
      <c r="T40" s="36"/>
      <c r="U40" s="36">
        <f t="shared" si="31"/>
        <v>150</v>
      </c>
      <c r="V40" s="36"/>
      <c r="W40" s="36"/>
      <c r="X40" s="38">
        <f t="shared" si="3"/>
        <v>150</v>
      </c>
      <c r="Y40" s="38">
        <f t="shared" si="18"/>
        <v>0</v>
      </c>
      <c r="Z40" s="37">
        <f t="shared" si="26"/>
        <v>74857500</v>
      </c>
      <c r="AA40" s="38">
        <f t="shared" si="30"/>
        <v>0</v>
      </c>
      <c r="AB40" s="35">
        <v>46030</v>
      </c>
      <c r="AC40" s="246">
        <v>46030</v>
      </c>
      <c r="AD40" s="41"/>
      <c r="AE40" s="39">
        <f t="shared" si="27"/>
        <v>46090</v>
      </c>
      <c r="AF40" s="39"/>
      <c r="AG40" s="36" t="s">
        <v>69</v>
      </c>
      <c r="AH40" s="36"/>
      <c r="AI40" s="36"/>
      <c r="AJ40" s="206"/>
      <c r="AK40" s="207"/>
      <c r="AL40" s="207"/>
    </row>
    <row r="41" spans="1:38" s="40" customFormat="1" x14ac:dyDescent="0.25">
      <c r="A41" s="34">
        <f t="shared" si="19"/>
        <v>29</v>
      </c>
      <c r="B41" s="35">
        <v>45986</v>
      </c>
      <c r="C41" s="34">
        <v>5200991503</v>
      </c>
      <c r="D41" s="36" t="s">
        <v>69</v>
      </c>
      <c r="E41" s="36"/>
      <c r="F41" s="36" t="s">
        <v>114</v>
      </c>
      <c r="G41" s="37">
        <v>150</v>
      </c>
      <c r="H41" s="37"/>
      <c r="I41" s="37">
        <v>4990500</v>
      </c>
      <c r="J41" s="37">
        <f>G41*I41</f>
        <v>748575000</v>
      </c>
      <c r="K41" s="37">
        <f t="shared" si="15"/>
        <v>374287500</v>
      </c>
      <c r="L41" s="37">
        <f t="shared" si="24"/>
        <v>499050</v>
      </c>
      <c r="M41" s="38">
        <f>(K41*20%)+H41</f>
        <v>74857500</v>
      </c>
      <c r="N41" s="38"/>
      <c r="O41" s="38">
        <f t="shared" si="25"/>
        <v>74857500</v>
      </c>
      <c r="P41" s="36"/>
      <c r="Q41" s="38"/>
      <c r="R41" s="36"/>
      <c r="S41" s="36"/>
      <c r="T41" s="36"/>
      <c r="U41" s="36">
        <f t="shared" si="31"/>
        <v>150</v>
      </c>
      <c r="V41" s="36"/>
      <c r="W41" s="36"/>
      <c r="X41" s="38">
        <f t="shared" si="3"/>
        <v>150</v>
      </c>
      <c r="Y41" s="38">
        <f t="shared" si="18"/>
        <v>0</v>
      </c>
      <c r="Z41" s="37">
        <f t="shared" si="26"/>
        <v>74857500</v>
      </c>
      <c r="AA41" s="38">
        <f>M41+N41-Z41</f>
        <v>0</v>
      </c>
      <c r="AB41" s="219">
        <v>46030</v>
      </c>
      <c r="AC41" s="246">
        <v>46030</v>
      </c>
      <c r="AD41" s="41"/>
      <c r="AE41" s="39">
        <f t="shared" si="27"/>
        <v>46090</v>
      </c>
      <c r="AF41" s="39"/>
      <c r="AG41" s="36" t="s">
        <v>69</v>
      </c>
      <c r="AH41" s="36"/>
      <c r="AI41" s="36"/>
      <c r="AJ41" s="206"/>
      <c r="AK41" s="207"/>
      <c r="AL41" s="207"/>
    </row>
    <row r="42" spans="1:38" s="40" customFormat="1" x14ac:dyDescent="0.25">
      <c r="A42" s="34">
        <f t="shared" si="19"/>
        <v>30</v>
      </c>
      <c r="B42" s="35">
        <v>46372</v>
      </c>
      <c r="C42" s="34">
        <v>5200991553</v>
      </c>
      <c r="D42" s="36" t="s">
        <v>69</v>
      </c>
      <c r="E42" s="36"/>
      <c r="F42" s="36" t="s">
        <v>114</v>
      </c>
      <c r="G42" s="37">
        <v>50</v>
      </c>
      <c r="H42" s="37"/>
      <c r="I42" s="37">
        <v>4990500</v>
      </c>
      <c r="J42" s="37">
        <f>G42*I42</f>
        <v>249525000</v>
      </c>
      <c r="K42" s="37">
        <f t="shared" si="15"/>
        <v>124762500</v>
      </c>
      <c r="L42" s="37">
        <f t="shared" si="24"/>
        <v>499050</v>
      </c>
      <c r="M42" s="38">
        <f>(K42*20%)+H42</f>
        <v>24952500</v>
      </c>
      <c r="N42" s="38"/>
      <c r="O42" s="38">
        <f t="shared" si="25"/>
        <v>24952500</v>
      </c>
      <c r="P42" s="36"/>
      <c r="Q42" s="38"/>
      <c r="R42" s="36"/>
      <c r="S42" s="36"/>
      <c r="T42" s="36"/>
      <c r="U42" s="36">
        <f t="shared" si="31"/>
        <v>50</v>
      </c>
      <c r="V42" s="36"/>
      <c r="W42" s="36"/>
      <c r="X42" s="38">
        <f t="shared" si="3"/>
        <v>50</v>
      </c>
      <c r="Y42" s="38">
        <f t="shared" si="18"/>
        <v>0</v>
      </c>
      <c r="Z42" s="37">
        <f t="shared" si="26"/>
        <v>24952500</v>
      </c>
      <c r="AA42" s="38">
        <f>M42+N42-Z42</f>
        <v>0</v>
      </c>
      <c r="AB42" s="219">
        <v>46036</v>
      </c>
      <c r="AC42" s="246">
        <v>46036</v>
      </c>
      <c r="AD42" s="41"/>
      <c r="AE42" s="39">
        <f t="shared" si="27"/>
        <v>46096</v>
      </c>
      <c r="AF42" s="39"/>
      <c r="AG42" s="36" t="s">
        <v>69</v>
      </c>
      <c r="AH42" s="36"/>
      <c r="AI42" s="36"/>
      <c r="AJ42" s="206"/>
      <c r="AK42" s="207"/>
      <c r="AL42" s="207"/>
    </row>
    <row r="43" spans="1:38" ht="14.25" customHeight="1" x14ac:dyDescent="0.25">
      <c r="A43" s="31">
        <f t="shared" si="19"/>
        <v>31</v>
      </c>
      <c r="B43" s="16">
        <v>46021</v>
      </c>
      <c r="C43" s="179">
        <v>5200996833</v>
      </c>
      <c r="D43" s="4" t="s">
        <v>65</v>
      </c>
      <c r="E43" s="4"/>
      <c r="F43" s="4" t="s">
        <v>153</v>
      </c>
      <c r="G43" s="78">
        <v>1</v>
      </c>
      <c r="H43" s="78"/>
      <c r="I43" s="78">
        <v>1188000000</v>
      </c>
      <c r="J43" s="78">
        <f>G43*I43</f>
        <v>1188000000</v>
      </c>
      <c r="K43" s="78">
        <f t="shared" si="15"/>
        <v>594000000</v>
      </c>
      <c r="L43" s="78">
        <f t="shared" si="24"/>
        <v>118800000</v>
      </c>
      <c r="M43" s="7">
        <f>(K43*20%)+H43</f>
        <v>118800000</v>
      </c>
      <c r="N43" s="7"/>
      <c r="O43" s="7">
        <f t="shared" si="25"/>
        <v>118800000</v>
      </c>
      <c r="P43" s="4"/>
      <c r="Q43" s="7"/>
      <c r="R43" s="4"/>
      <c r="S43" s="4"/>
      <c r="T43" s="4"/>
      <c r="U43" s="4"/>
      <c r="V43" s="4"/>
      <c r="W43" s="4"/>
      <c r="X43" s="7">
        <v>0</v>
      </c>
      <c r="Y43" s="7">
        <v>0</v>
      </c>
      <c r="Z43" s="7">
        <v>0</v>
      </c>
      <c r="AA43" s="7">
        <f t="shared" ref="AA43:AA46" si="32">M43+N43-Z43</f>
        <v>118800000</v>
      </c>
      <c r="AB43" s="16"/>
      <c r="AC43" s="221"/>
      <c r="AD43" s="185"/>
      <c r="AE43" s="256"/>
      <c r="AF43" s="27"/>
      <c r="AG43" s="4" t="s">
        <v>65</v>
      </c>
      <c r="AH43" s="4" t="s">
        <v>171</v>
      </c>
      <c r="AI43" s="4"/>
      <c r="AJ43" s="82"/>
      <c r="AK43" s="2"/>
      <c r="AL43" s="2"/>
    </row>
    <row r="44" spans="1:38" ht="14.25" customHeight="1" x14ac:dyDescent="0.25">
      <c r="A44" s="31"/>
      <c r="B44" s="16">
        <v>46044</v>
      </c>
      <c r="C44" s="179">
        <v>5201004137</v>
      </c>
      <c r="D44" s="4" t="s">
        <v>65</v>
      </c>
      <c r="E44" s="4"/>
      <c r="F44" s="4" t="s">
        <v>188</v>
      </c>
      <c r="G44" s="78">
        <v>1</v>
      </c>
      <c r="H44" s="78"/>
      <c r="I44" s="78">
        <v>926640000</v>
      </c>
      <c r="J44" s="78"/>
      <c r="K44" s="78">
        <f t="shared" ref="K44:K46" si="33">J44*50%</f>
        <v>0</v>
      </c>
      <c r="L44" s="78">
        <f>K44*20%</f>
        <v>0</v>
      </c>
      <c r="M44" s="7">
        <f>(K44*20%)+H44</f>
        <v>0</v>
      </c>
      <c r="N44" s="7"/>
      <c r="O44" s="7">
        <f t="shared" ref="O44:O46" si="34">SUM(M44:N44)</f>
        <v>0</v>
      </c>
      <c r="P44" s="4"/>
      <c r="Q44" s="7"/>
      <c r="R44" s="4"/>
      <c r="S44" s="4"/>
      <c r="T44" s="4"/>
      <c r="U44" s="4"/>
      <c r="V44" s="4"/>
      <c r="W44" s="4"/>
      <c r="X44" s="7">
        <v>0</v>
      </c>
      <c r="Y44" s="7">
        <v>0</v>
      </c>
      <c r="Z44" s="7">
        <v>0</v>
      </c>
      <c r="AA44" s="7">
        <f t="shared" si="32"/>
        <v>0</v>
      </c>
      <c r="AB44" s="16"/>
      <c r="AC44" s="221"/>
      <c r="AD44" s="185"/>
      <c r="AE44" s="27"/>
      <c r="AF44" s="27"/>
      <c r="AG44" s="4" t="s">
        <v>65</v>
      </c>
      <c r="AH44" s="4" t="s">
        <v>171</v>
      </c>
      <c r="AI44" s="4"/>
      <c r="AJ44" s="82"/>
      <c r="AK44" s="2"/>
      <c r="AL44" s="2"/>
    </row>
    <row r="45" spans="1:38" s="268" customFormat="1" ht="14.25" customHeight="1" x14ac:dyDescent="0.25">
      <c r="A45" s="257"/>
      <c r="B45" s="258">
        <v>46045</v>
      </c>
      <c r="C45" s="259">
        <v>5201004344</v>
      </c>
      <c r="D45" s="260" t="s">
        <v>65</v>
      </c>
      <c r="E45" s="260"/>
      <c r="F45" s="260" t="s">
        <v>114</v>
      </c>
      <c r="G45" s="261">
        <v>50</v>
      </c>
      <c r="H45" s="261"/>
      <c r="I45" s="261">
        <f>249525000/G45</f>
        <v>4990500</v>
      </c>
      <c r="J45" s="261"/>
      <c r="K45" s="261">
        <f t="shared" si="33"/>
        <v>0</v>
      </c>
      <c r="L45" s="261">
        <f>(K45/G45)*20%</f>
        <v>0</v>
      </c>
      <c r="M45" s="262">
        <f>(K45*20%)+H45</f>
        <v>0</v>
      </c>
      <c r="N45" s="262"/>
      <c r="O45" s="262">
        <f t="shared" si="34"/>
        <v>0</v>
      </c>
      <c r="P45" s="260"/>
      <c r="Q45" s="262"/>
      <c r="R45" s="260"/>
      <c r="S45" s="260"/>
      <c r="T45" s="260"/>
      <c r="U45" s="260"/>
      <c r="V45" s="260"/>
      <c r="W45" s="260"/>
      <c r="X45" s="262">
        <v>0</v>
      </c>
      <c r="Y45" s="262">
        <v>0</v>
      </c>
      <c r="Z45" s="262">
        <v>0</v>
      </c>
      <c r="AA45" s="262">
        <f t="shared" si="32"/>
        <v>0</v>
      </c>
      <c r="AB45" s="258"/>
      <c r="AC45" s="263"/>
      <c r="AD45" s="264"/>
      <c r="AE45" s="265"/>
      <c r="AF45" s="265"/>
      <c r="AG45" s="260" t="s">
        <v>65</v>
      </c>
      <c r="AH45" s="260" t="s">
        <v>171</v>
      </c>
      <c r="AI45" s="260"/>
      <c r="AJ45" s="266"/>
      <c r="AK45" s="267"/>
      <c r="AL45" s="267"/>
    </row>
    <row r="46" spans="1:38" s="268" customFormat="1" ht="14.25" customHeight="1" x14ac:dyDescent="0.25">
      <c r="A46" s="257"/>
      <c r="B46" s="258">
        <v>46051</v>
      </c>
      <c r="C46" s="259">
        <v>5201005549</v>
      </c>
      <c r="D46" s="260" t="s">
        <v>65</v>
      </c>
      <c r="E46" s="259"/>
      <c r="F46" s="260" t="s">
        <v>45</v>
      </c>
      <c r="G46" s="261">
        <v>2</v>
      </c>
      <c r="H46" s="261"/>
      <c r="I46" s="261">
        <v>225000000</v>
      </c>
      <c r="J46" s="261"/>
      <c r="K46" s="261">
        <f t="shared" si="33"/>
        <v>0</v>
      </c>
      <c r="L46" s="261">
        <f>(K46/G46)*20%</f>
        <v>0</v>
      </c>
      <c r="M46" s="262">
        <f>L46*G46</f>
        <v>0</v>
      </c>
      <c r="N46" s="262"/>
      <c r="O46" s="262">
        <f t="shared" si="34"/>
        <v>0</v>
      </c>
      <c r="P46" s="260"/>
      <c r="Q46" s="262"/>
      <c r="R46" s="260"/>
      <c r="S46" s="260"/>
      <c r="T46" s="260"/>
      <c r="U46" s="260"/>
      <c r="V46" s="260"/>
      <c r="W46" s="260"/>
      <c r="X46" s="262">
        <v>0</v>
      </c>
      <c r="Y46" s="262">
        <v>0</v>
      </c>
      <c r="Z46" s="262">
        <v>0</v>
      </c>
      <c r="AA46" s="262">
        <f t="shared" si="32"/>
        <v>0</v>
      </c>
      <c r="AB46" s="258"/>
      <c r="AC46" s="263"/>
      <c r="AD46" s="264"/>
      <c r="AE46" s="265"/>
      <c r="AF46" s="265"/>
      <c r="AG46" s="260"/>
      <c r="AH46" s="260" t="s">
        <v>171</v>
      </c>
      <c r="AI46" s="260"/>
      <c r="AJ46" s="266"/>
      <c r="AK46" s="267"/>
      <c r="AL46" s="267"/>
    </row>
    <row r="47" spans="1:38" s="268" customFormat="1" ht="14.25" customHeight="1" x14ac:dyDescent="0.25">
      <c r="A47" s="257"/>
      <c r="B47" s="258">
        <v>46051</v>
      </c>
      <c r="C47" s="259">
        <v>5201005550</v>
      </c>
      <c r="D47" s="260" t="s">
        <v>65</v>
      </c>
      <c r="E47" s="259"/>
      <c r="F47" s="260" t="s">
        <v>45</v>
      </c>
      <c r="G47" s="261">
        <v>2</v>
      </c>
      <c r="H47" s="261"/>
      <c r="I47" s="261">
        <v>225000000</v>
      </c>
      <c r="J47" s="261"/>
      <c r="K47" s="261">
        <f t="shared" ref="K47:K48" si="35">J47*50%</f>
        <v>0</v>
      </c>
      <c r="L47" s="261">
        <f>(K47/G47)*20%</f>
        <v>0</v>
      </c>
      <c r="M47" s="262">
        <f>L47*G47</f>
        <v>0</v>
      </c>
      <c r="N47" s="262"/>
      <c r="O47" s="262">
        <f t="shared" ref="O47:O48" si="36">SUM(M47:N47)</f>
        <v>0</v>
      </c>
      <c r="P47" s="260"/>
      <c r="Q47" s="262"/>
      <c r="R47" s="260"/>
      <c r="S47" s="260"/>
      <c r="T47" s="260"/>
      <c r="U47" s="260"/>
      <c r="V47" s="260"/>
      <c r="W47" s="260"/>
      <c r="X47" s="262">
        <v>0</v>
      </c>
      <c r="Y47" s="262">
        <v>0</v>
      </c>
      <c r="Z47" s="262">
        <v>0</v>
      </c>
      <c r="AA47" s="262">
        <f t="shared" ref="AA47" si="37">M47+N47-Z47</f>
        <v>0</v>
      </c>
      <c r="AB47" s="258"/>
      <c r="AC47" s="263"/>
      <c r="AD47" s="264"/>
      <c r="AE47" s="265"/>
      <c r="AF47" s="265"/>
      <c r="AG47" s="260"/>
      <c r="AH47" s="260" t="s">
        <v>171</v>
      </c>
      <c r="AI47" s="260"/>
      <c r="AJ47" s="266"/>
      <c r="AK47" s="267"/>
      <c r="AL47" s="267"/>
    </row>
    <row r="48" spans="1:38" s="268" customFormat="1" ht="14.25" customHeight="1" x14ac:dyDescent="0.25">
      <c r="A48" s="257"/>
      <c r="B48" s="258">
        <v>46051</v>
      </c>
      <c r="C48" s="259">
        <v>5201005551</v>
      </c>
      <c r="D48" s="260" t="s">
        <v>65</v>
      </c>
      <c r="E48" s="259"/>
      <c r="F48" s="260" t="s">
        <v>192</v>
      </c>
      <c r="G48" s="261">
        <v>16</v>
      </c>
      <c r="H48" s="261"/>
      <c r="I48" s="261">
        <v>37000000</v>
      </c>
      <c r="J48" s="261"/>
      <c r="K48" s="261">
        <f t="shared" si="35"/>
        <v>0</v>
      </c>
      <c r="L48" s="261">
        <f>(K48/G48)*20%</f>
        <v>0</v>
      </c>
      <c r="M48" s="262">
        <f>K48*20%</f>
        <v>0</v>
      </c>
      <c r="N48" s="262"/>
      <c r="O48" s="262">
        <f t="shared" si="36"/>
        <v>0</v>
      </c>
      <c r="P48" s="260"/>
      <c r="Q48" s="262"/>
      <c r="R48" s="260"/>
      <c r="S48" s="260"/>
      <c r="T48" s="260"/>
      <c r="U48" s="260"/>
      <c r="V48" s="260"/>
      <c r="W48" s="260"/>
      <c r="X48" s="262">
        <v>0</v>
      </c>
      <c r="Y48" s="262">
        <v>0</v>
      </c>
      <c r="Z48" s="262">
        <v>0</v>
      </c>
      <c r="AA48" s="262">
        <f t="shared" ref="AA48" si="38">M48+N48-Z48</f>
        <v>0</v>
      </c>
      <c r="AB48" s="258"/>
      <c r="AC48" s="263"/>
      <c r="AD48" s="264"/>
      <c r="AE48" s="265"/>
      <c r="AF48" s="265"/>
      <c r="AG48" s="260"/>
      <c r="AH48" s="260" t="s">
        <v>171</v>
      </c>
      <c r="AI48" s="260"/>
      <c r="AJ48" s="266"/>
      <c r="AK48" s="267"/>
      <c r="AL48" s="267"/>
    </row>
    <row r="49" spans="1:38" s="268" customFormat="1" ht="14.25" customHeight="1" x14ac:dyDescent="0.25">
      <c r="A49" s="257"/>
      <c r="B49" s="258">
        <v>46051</v>
      </c>
      <c r="C49" s="259">
        <v>5201005552</v>
      </c>
      <c r="D49" s="260" t="s">
        <v>65</v>
      </c>
      <c r="E49" s="259"/>
      <c r="F49" s="260" t="s">
        <v>193</v>
      </c>
      <c r="G49" s="261">
        <v>16</v>
      </c>
      <c r="H49" s="261"/>
      <c r="I49" s="261">
        <v>37000000</v>
      </c>
      <c r="J49" s="261"/>
      <c r="K49" s="261">
        <f t="shared" ref="K49" si="39">J49*50%</f>
        <v>0</v>
      </c>
      <c r="L49" s="261">
        <f>(K49/G49)*20%</f>
        <v>0</v>
      </c>
      <c r="M49" s="262">
        <f>K49*20%</f>
        <v>0</v>
      </c>
      <c r="N49" s="262"/>
      <c r="O49" s="262">
        <f t="shared" ref="O49" si="40">SUM(M49:N49)</f>
        <v>0</v>
      </c>
      <c r="P49" s="260"/>
      <c r="Q49" s="262"/>
      <c r="R49" s="260"/>
      <c r="S49" s="260"/>
      <c r="T49" s="260"/>
      <c r="U49" s="260"/>
      <c r="V49" s="260"/>
      <c r="W49" s="260"/>
      <c r="X49" s="262">
        <v>0</v>
      </c>
      <c r="Y49" s="262">
        <v>0</v>
      </c>
      <c r="Z49" s="262">
        <v>0</v>
      </c>
      <c r="AA49" s="262">
        <f t="shared" ref="AA49" si="41">M49+N49-Z49</f>
        <v>0</v>
      </c>
      <c r="AB49" s="258"/>
      <c r="AC49" s="263"/>
      <c r="AD49" s="264"/>
      <c r="AE49" s="265"/>
      <c r="AF49" s="265"/>
      <c r="AG49" s="260"/>
      <c r="AH49" s="260" t="s">
        <v>171</v>
      </c>
      <c r="AI49" s="260"/>
      <c r="AJ49" s="266"/>
      <c r="AK49" s="267"/>
      <c r="AL49" s="267"/>
    </row>
    <row r="50" spans="1:38" ht="14.25" customHeight="1" x14ac:dyDescent="0.25">
      <c r="A50" s="31"/>
      <c r="B50" s="31"/>
      <c r="C50" s="179"/>
      <c r="D50" s="179"/>
      <c r="E50" s="179"/>
      <c r="F50" s="4"/>
      <c r="G50" s="78"/>
      <c r="H50" s="78"/>
      <c r="I50" s="78"/>
      <c r="J50" s="78"/>
      <c r="K50" s="78"/>
      <c r="L50" s="78"/>
      <c r="M50" s="7"/>
      <c r="N50" s="7"/>
      <c r="O50" s="7"/>
      <c r="P50" s="4"/>
      <c r="Q50" s="7"/>
      <c r="R50" s="4"/>
      <c r="S50" s="4"/>
      <c r="T50" s="4"/>
      <c r="U50" s="4"/>
      <c r="V50" s="4"/>
      <c r="W50" s="4"/>
      <c r="X50" s="7"/>
      <c r="Y50" s="7"/>
      <c r="Z50" s="78"/>
      <c r="AA50" s="7"/>
      <c r="AB50" s="16"/>
      <c r="AC50" s="221"/>
      <c r="AD50" s="185"/>
      <c r="AE50" s="27"/>
      <c r="AF50" s="27"/>
      <c r="AG50" s="4"/>
      <c r="AH50" s="4"/>
      <c r="AI50" s="4"/>
      <c r="AJ50" s="82"/>
      <c r="AK50" s="2"/>
      <c r="AL50" s="2"/>
    </row>
    <row r="51" spans="1:38" ht="15.75" thickBot="1" x14ac:dyDescent="0.3">
      <c r="A51" s="29"/>
      <c r="B51" s="29"/>
      <c r="F51" s="15"/>
      <c r="G51" s="79"/>
      <c r="H51" s="79"/>
      <c r="I51" s="79"/>
      <c r="J51" s="79"/>
      <c r="K51" s="79"/>
      <c r="L51" s="79"/>
      <c r="M51" s="2"/>
      <c r="N51" s="2"/>
      <c r="O51" s="2"/>
      <c r="Q51" s="2"/>
      <c r="X51" s="2"/>
      <c r="Y51" s="2"/>
      <c r="Z51" s="79"/>
      <c r="AA51" s="2"/>
      <c r="AB51" s="2"/>
    </row>
    <row r="52" spans="1:38" ht="15.75" thickBot="1" x14ac:dyDescent="0.3">
      <c r="C52" s="32" t="s">
        <v>51</v>
      </c>
      <c r="D52" s="253"/>
      <c r="E52" s="253"/>
      <c r="F52" s="18"/>
      <c r="G52" s="18"/>
      <c r="H52" s="18"/>
      <c r="I52" s="18"/>
      <c r="J52" s="19">
        <f>SUM(J12:J50)</f>
        <v>26269947200</v>
      </c>
      <c r="K52" s="19">
        <f>SUM(K12:K50)</f>
        <v>13134973600</v>
      </c>
      <c r="L52" s="18"/>
      <c r="M52" s="19">
        <f>SUM(M12:M50)</f>
        <v>2636474470</v>
      </c>
      <c r="N52" s="19">
        <f>SUM(N12:N50)</f>
        <v>132522000</v>
      </c>
      <c r="O52" s="19">
        <f>SUM(O12:O50)</f>
        <v>2768996470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>
        <f>SUM(Z12:Z50)</f>
        <v>2500481470</v>
      </c>
      <c r="AA52" s="19">
        <f>SUM(AA12:AA50)</f>
        <v>268515000</v>
      </c>
      <c r="AB52" s="24"/>
    </row>
    <row r="53" spans="1:38" x14ac:dyDescent="0.25">
      <c r="G53" s="9"/>
      <c r="H53" s="9"/>
      <c r="I53" s="9"/>
      <c r="J53" s="9"/>
      <c r="K53" s="9"/>
      <c r="L53" s="248"/>
      <c r="M53" s="9"/>
      <c r="N53" s="9"/>
      <c r="O53" s="248"/>
      <c r="AA53" s="2"/>
    </row>
    <row r="54" spans="1:38" x14ac:dyDescent="0.25">
      <c r="G54" s="9" t="s">
        <v>36</v>
      </c>
      <c r="H54" s="9"/>
      <c r="I54" s="9" t="s">
        <v>37</v>
      </c>
      <c r="J54" s="9" t="s">
        <v>38</v>
      </c>
      <c r="K54" s="9" t="s">
        <v>39</v>
      </c>
      <c r="L54" s="9" t="s">
        <v>40</v>
      </c>
      <c r="M54" s="9" t="s">
        <v>41</v>
      </c>
      <c r="N54" s="9"/>
      <c r="O54" s="9"/>
    </row>
    <row r="55" spans="1:38" x14ac:dyDescent="0.25">
      <c r="G55" s="10" t="s">
        <v>32</v>
      </c>
      <c r="H55" s="11" t="s">
        <v>46</v>
      </c>
      <c r="I55" s="10" t="s">
        <v>8</v>
      </c>
      <c r="J55" s="11" t="s">
        <v>71</v>
      </c>
      <c r="K55" s="12" t="s">
        <v>42</v>
      </c>
      <c r="L55" s="12" t="s">
        <v>133</v>
      </c>
      <c r="M55" s="13" t="s">
        <v>30</v>
      </c>
      <c r="N55" s="33"/>
      <c r="O55" s="33"/>
    </row>
    <row r="56" spans="1:38" x14ac:dyDescent="0.25">
      <c r="G56" s="5">
        <v>45839</v>
      </c>
      <c r="H56" s="7">
        <f>SUM(K12:K14)</f>
        <v>900000000</v>
      </c>
      <c r="I56" s="7">
        <f>SUM(Z12:Z14)</f>
        <v>180000000</v>
      </c>
      <c r="J56" s="6"/>
      <c r="K56" s="6"/>
      <c r="L56" s="6"/>
      <c r="M56" s="7">
        <f>H56+I56</f>
        <v>1080000000</v>
      </c>
      <c r="N56" s="2"/>
      <c r="O56" s="2"/>
      <c r="AA56" s="2"/>
    </row>
    <row r="57" spans="1:38" x14ac:dyDescent="0.25">
      <c r="G57" s="5">
        <v>45870</v>
      </c>
      <c r="H57" s="7">
        <f>SUM(K15:K18)</f>
        <v>1125000000</v>
      </c>
      <c r="I57" s="7">
        <f>SUM(Z15:Z18)</f>
        <v>225000000</v>
      </c>
      <c r="J57" s="7"/>
      <c r="K57" s="7">
        <f>SUM(K19:K22)</f>
        <v>1606174500</v>
      </c>
      <c r="L57" s="7"/>
      <c r="M57" s="7">
        <f>M56+H57+I57+J57-K57-L57</f>
        <v>823825500</v>
      </c>
      <c r="N57" s="2"/>
      <c r="O57" s="2"/>
    </row>
    <row r="58" spans="1:38" x14ac:dyDescent="0.25">
      <c r="G58" s="5">
        <v>45901</v>
      </c>
      <c r="H58" s="7">
        <v>1426698600</v>
      </c>
      <c r="I58" s="7"/>
      <c r="J58" s="7"/>
      <c r="K58" s="7">
        <f>SUM(K23:K27)</f>
        <v>2250524100</v>
      </c>
      <c r="L58" s="7"/>
      <c r="M58" s="7">
        <f>M57+H58+I58+J58-K58</f>
        <v>0</v>
      </c>
      <c r="N58" s="2"/>
      <c r="O58" s="2"/>
    </row>
    <row r="59" spans="1:38" x14ac:dyDescent="0.25">
      <c r="G59" s="5">
        <v>45931</v>
      </c>
      <c r="H59" s="7"/>
      <c r="I59" s="7"/>
      <c r="J59" s="7"/>
      <c r="K59" s="7">
        <f>K29+K28</f>
        <v>342500000</v>
      </c>
      <c r="L59" s="7"/>
      <c r="M59" s="7">
        <f>M58+H59+I59+J59-K59</f>
        <v>-342500000</v>
      </c>
      <c r="N59" s="2"/>
      <c r="O59" s="2"/>
    </row>
    <row r="60" spans="1:38" x14ac:dyDescent="0.25">
      <c r="G60" s="5">
        <v>45962</v>
      </c>
      <c r="H60" s="7"/>
      <c r="I60" s="7">
        <f>SUM(O19:O28)</f>
        <v>830880470</v>
      </c>
      <c r="J60" s="7"/>
      <c r="K60" s="7">
        <f>-SUM(K19:K28)+SUM(K30:K41)</f>
        <v>2335313900</v>
      </c>
      <c r="L60" s="7">
        <v>1105000000</v>
      </c>
      <c r="M60" s="7">
        <f>M59+H60+I60+J60-K60-L60</f>
        <v>-2951933430</v>
      </c>
      <c r="N60" s="2"/>
      <c r="O60" s="2"/>
    </row>
    <row r="61" spans="1:38" x14ac:dyDescent="0.25">
      <c r="G61" s="27">
        <v>46007</v>
      </c>
      <c r="H61" s="7">
        <v>1300000000</v>
      </c>
      <c r="I61" s="7"/>
      <c r="J61" s="7"/>
      <c r="K61" s="7">
        <f>K42+K43+K50</f>
        <v>718762500</v>
      </c>
      <c r="L61" s="7"/>
      <c r="M61" s="7">
        <f>M60+H61+I61+J61-K61-L61</f>
        <v>-2370695930</v>
      </c>
      <c r="N61" s="2"/>
      <c r="O61" s="2"/>
      <c r="R61" s="1"/>
    </row>
    <row r="62" spans="1:38" x14ac:dyDescent="0.25">
      <c r="G62" s="27">
        <v>46014</v>
      </c>
      <c r="H62" s="7">
        <v>250000000</v>
      </c>
      <c r="I62" s="7"/>
      <c r="J62" s="7"/>
      <c r="K62" s="7"/>
      <c r="L62" s="7"/>
      <c r="M62" s="7">
        <f t="shared" ref="M62:M70" si="42">M61+H62+I62+J62-K62-L62</f>
        <v>-2120695930</v>
      </c>
      <c r="N62" s="2"/>
      <c r="O62" s="2"/>
      <c r="R62" s="1"/>
    </row>
    <row r="63" spans="1:38" ht="15.75" thickBot="1" x14ac:dyDescent="0.3">
      <c r="G63" s="27">
        <v>46015</v>
      </c>
      <c r="H63" s="7">
        <v>250000000</v>
      </c>
      <c r="I63" s="7"/>
      <c r="J63" s="7"/>
      <c r="K63" s="7"/>
      <c r="L63" s="7"/>
      <c r="M63" s="7">
        <f t="shared" si="42"/>
        <v>-1870695930</v>
      </c>
      <c r="N63" s="2"/>
      <c r="O63" s="2"/>
      <c r="R63" s="1"/>
    </row>
    <row r="64" spans="1:38" x14ac:dyDescent="0.25">
      <c r="B64" s="226" t="s">
        <v>191</v>
      </c>
      <c r="C64" s="227">
        <f>SUM(H71)</f>
        <v>6401698600</v>
      </c>
      <c r="D64" s="2"/>
      <c r="G64" s="27">
        <v>46016</v>
      </c>
      <c r="H64" s="7">
        <v>250000000</v>
      </c>
      <c r="I64" s="7"/>
      <c r="J64" s="7"/>
      <c r="K64" s="7"/>
      <c r="L64" s="7"/>
      <c r="M64" s="7">
        <f t="shared" si="42"/>
        <v>-1620695930</v>
      </c>
      <c r="N64" s="2"/>
      <c r="O64" s="2"/>
      <c r="R64" s="1"/>
    </row>
    <row r="65" spans="2:25" x14ac:dyDescent="0.25">
      <c r="B65" s="228" t="s">
        <v>175</v>
      </c>
      <c r="C65" s="229">
        <f>SUM(O12:O31)</f>
        <v>1656498970</v>
      </c>
      <c r="D65" s="2"/>
      <c r="E65" s="2"/>
      <c r="G65" s="27">
        <v>46017</v>
      </c>
      <c r="H65" s="7">
        <v>250000000</v>
      </c>
      <c r="I65" s="7"/>
      <c r="J65" s="7"/>
      <c r="K65" s="7"/>
      <c r="L65" s="7"/>
      <c r="M65" s="7">
        <f t="shared" si="42"/>
        <v>-1370695930</v>
      </c>
      <c r="N65" s="2"/>
      <c r="O65" s="2"/>
      <c r="R65" s="1"/>
    </row>
    <row r="66" spans="2:25" x14ac:dyDescent="0.25">
      <c r="B66" s="228" t="s">
        <v>176</v>
      </c>
      <c r="C66" s="234">
        <f>-K52</f>
        <v>-13134973600</v>
      </c>
      <c r="D66" s="254"/>
      <c r="E66" s="2"/>
      <c r="G66" s="27">
        <v>46018</v>
      </c>
      <c r="H66" s="7">
        <v>250000000</v>
      </c>
      <c r="I66" s="7"/>
      <c r="J66" s="7"/>
      <c r="K66" s="7"/>
      <c r="L66" s="7"/>
      <c r="M66" s="7">
        <f t="shared" si="42"/>
        <v>-1120695930</v>
      </c>
      <c r="N66" s="2"/>
      <c r="O66" s="2"/>
      <c r="R66" s="1"/>
    </row>
    <row r="67" spans="2:25" x14ac:dyDescent="0.25">
      <c r="B67" s="228" t="s">
        <v>177</v>
      </c>
      <c r="C67" s="229">
        <f>SUM(K12:K31)</f>
        <v>7653486100</v>
      </c>
      <c r="D67" s="2"/>
      <c r="E67" s="254"/>
      <c r="G67" s="27">
        <v>46019</v>
      </c>
      <c r="H67" s="7">
        <v>250000000</v>
      </c>
      <c r="I67" s="7"/>
      <c r="J67" s="7"/>
      <c r="K67" s="7"/>
      <c r="L67" s="7"/>
      <c r="M67" s="7">
        <f t="shared" si="42"/>
        <v>-870695930</v>
      </c>
      <c r="N67" s="2"/>
      <c r="O67" s="2"/>
      <c r="R67" s="1"/>
    </row>
    <row r="68" spans="2:25" x14ac:dyDescent="0.25">
      <c r="B68" s="230" t="s">
        <v>136</v>
      </c>
      <c r="C68" s="231">
        <f>SUM(C64:C67)</f>
        <v>2576710070</v>
      </c>
      <c r="D68" s="24"/>
      <c r="E68" s="231"/>
      <c r="G68" s="27">
        <v>46020</v>
      </c>
      <c r="H68" s="7">
        <v>150000000</v>
      </c>
      <c r="I68" s="7"/>
      <c r="J68" s="7"/>
      <c r="K68" s="7"/>
      <c r="L68" s="7"/>
      <c r="M68" s="7">
        <f>M67+H68+I68+J68-K68-L68</f>
        <v>-720695930</v>
      </c>
      <c r="N68" s="2"/>
      <c r="O68" s="2"/>
      <c r="R68" s="1"/>
    </row>
    <row r="69" spans="2:25" x14ac:dyDescent="0.25">
      <c r="B69" s="228" t="s">
        <v>172</v>
      </c>
      <c r="C69" s="229">
        <f>L60</f>
        <v>1105000000</v>
      </c>
      <c r="D69" s="2"/>
      <c r="E69" s="229"/>
      <c r="G69" s="27">
        <v>46034</v>
      </c>
      <c r="H69" s="7"/>
      <c r="I69" s="7">
        <f>SUM(O29:O31)</f>
        <v>420618500</v>
      </c>
      <c r="J69" s="7"/>
      <c r="K69" s="7">
        <f>-SUM(K29:K31)</f>
        <v>-1771787500</v>
      </c>
      <c r="L69" s="7"/>
      <c r="M69" s="7">
        <f t="shared" si="42"/>
        <v>1471710070</v>
      </c>
      <c r="N69" s="2"/>
      <c r="O69" s="2"/>
      <c r="R69" s="1"/>
    </row>
    <row r="70" spans="2:25" ht="15.75" thickBot="1" x14ac:dyDescent="0.3">
      <c r="B70" s="232" t="s">
        <v>173</v>
      </c>
      <c r="C70" s="233">
        <f>C68-C69</f>
        <v>1471710070</v>
      </c>
      <c r="D70" s="24"/>
      <c r="E70" s="233"/>
      <c r="G70" s="27">
        <v>46045</v>
      </c>
      <c r="H70" s="7"/>
      <c r="I70" s="7"/>
      <c r="J70" s="7"/>
      <c r="K70" s="7">
        <f>SUM(K44:K45)</f>
        <v>0</v>
      </c>
      <c r="L70" s="7"/>
      <c r="M70" s="7">
        <f t="shared" si="42"/>
        <v>1471710070</v>
      </c>
      <c r="N70" s="24"/>
      <c r="O70" s="24"/>
      <c r="R70" s="2"/>
    </row>
    <row r="71" spans="2:25" ht="15.75" thickTop="1" x14ac:dyDescent="0.25">
      <c r="F71" s="2"/>
      <c r="G71" s="4"/>
      <c r="H71" s="8">
        <f>SUM(H56:H70)</f>
        <v>6401698600</v>
      </c>
      <c r="I71" s="8">
        <f>SUM(I56:I70)</f>
        <v>1656498970</v>
      </c>
      <c r="J71" s="8">
        <f t="shared" ref="J71" si="43">SUM(J56:J61)</f>
        <v>0</v>
      </c>
      <c r="K71" s="8">
        <f>SUM(K56:K70)</f>
        <v>5481487500</v>
      </c>
      <c r="L71" s="8">
        <f>SUM(L56:L69)</f>
        <v>1105000000</v>
      </c>
      <c r="M71" s="8">
        <f>H71+I71+J71-K71-L71</f>
        <v>1471710070</v>
      </c>
    </row>
    <row r="72" spans="2:25" x14ac:dyDescent="0.25">
      <c r="G72" s="2"/>
      <c r="H72" s="2"/>
      <c r="I72" s="2"/>
      <c r="J72" s="2"/>
    </row>
    <row r="73" spans="2:25" x14ac:dyDescent="0.25">
      <c r="G73" s="167" t="s">
        <v>47</v>
      </c>
      <c r="H73" s="168">
        <f>H71</f>
        <v>6401698600</v>
      </c>
      <c r="I73" s="167"/>
      <c r="J73" s="189"/>
      <c r="K73" s="203" t="s">
        <v>148</v>
      </c>
      <c r="L73" s="190"/>
      <c r="M73" s="2"/>
      <c r="N73" s="2"/>
    </row>
    <row r="74" spans="2:25" x14ac:dyDescent="0.25">
      <c r="G74" s="167" t="s">
        <v>8</v>
      </c>
      <c r="H74" s="168">
        <f>SUM(O12:O27)</f>
        <v>1235880470</v>
      </c>
      <c r="I74" s="167"/>
      <c r="J74" s="189"/>
      <c r="K74" s="190" t="s">
        <v>149</v>
      </c>
      <c r="L74" s="191">
        <f>H71</f>
        <v>6401698600</v>
      </c>
      <c r="M74" s="19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2:25" x14ac:dyDescent="0.25">
      <c r="G75" s="167" t="s">
        <v>144</v>
      </c>
      <c r="H75" s="168">
        <f>-K71</f>
        <v>-5481487500</v>
      </c>
      <c r="I75" s="167" t="s">
        <v>146</v>
      </c>
      <c r="J75" s="189"/>
      <c r="K75" s="190" t="s">
        <v>8</v>
      </c>
      <c r="L75" s="192">
        <f>I71</f>
        <v>1656498970</v>
      </c>
      <c r="M75" s="19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2:25" x14ac:dyDescent="0.25">
      <c r="G76" s="167" t="s">
        <v>133</v>
      </c>
      <c r="H76" s="168">
        <f>-L60</f>
        <v>-1105000000</v>
      </c>
      <c r="I76" s="167"/>
      <c r="J76" s="189"/>
      <c r="K76" s="190" t="s">
        <v>35</v>
      </c>
      <c r="L76" s="204">
        <f>-L60</f>
        <v>-1105000000</v>
      </c>
      <c r="M76" s="193"/>
      <c r="X76" s="2"/>
    </row>
    <row r="77" spans="2:25" ht="15.75" thickBot="1" x14ac:dyDescent="0.3">
      <c r="G77" s="200" t="s">
        <v>145</v>
      </c>
      <c r="H77" s="201">
        <f>H73+H74+H75+H76</f>
        <v>1051091570</v>
      </c>
      <c r="I77" s="167"/>
      <c r="J77" s="189"/>
      <c r="K77" s="190" t="s">
        <v>48</v>
      </c>
      <c r="L77" s="204">
        <f>-K71</f>
        <v>-5481487500</v>
      </c>
      <c r="M77" s="191"/>
      <c r="X77" s="24"/>
    </row>
    <row r="78" spans="2:25" ht="16.5" thickTop="1" thickBot="1" x14ac:dyDescent="0.3">
      <c r="G78" s="202"/>
      <c r="H78" s="202"/>
      <c r="I78" s="202"/>
      <c r="J78" s="190"/>
      <c r="K78" s="205" t="s">
        <v>167</v>
      </c>
      <c r="L78" s="204">
        <f>L74+L75+L76+L77</f>
        <v>1471710070</v>
      </c>
      <c r="M78" s="189"/>
      <c r="X78" s="2"/>
    </row>
    <row r="79" spans="2:25" ht="15.75" hidden="1" thickTop="1" x14ac:dyDescent="0.25">
      <c r="C79" s="28"/>
      <c r="D79" s="28"/>
      <c r="E79" s="28"/>
      <c r="G79" s="167" t="s">
        <v>147</v>
      </c>
      <c r="H79" s="168">
        <f>SUM(K29:K41,O29:O41)</f>
        <v>7923876000</v>
      </c>
      <c r="I79" s="167" t="s">
        <v>146</v>
      </c>
      <c r="M79" s="2"/>
      <c r="N79" s="4" t="s">
        <v>5</v>
      </c>
      <c r="X79" s="2"/>
    </row>
    <row r="80" spans="2:25" hidden="1" x14ac:dyDescent="0.25">
      <c r="G80" s="80"/>
      <c r="H80" s="2"/>
      <c r="J80" s="24"/>
      <c r="K80" s="44" t="s">
        <v>166</v>
      </c>
      <c r="L80" s="44" t="s">
        <v>157</v>
      </c>
      <c r="M80" s="77" t="s">
        <v>165</v>
      </c>
      <c r="N80" s="7">
        <f>L81+M81</f>
        <v>3062580000</v>
      </c>
      <c r="X80" s="24"/>
      <c r="Y80" s="2"/>
    </row>
    <row r="81" spans="3:14" hidden="1" x14ac:dyDescent="0.25">
      <c r="C81" s="28"/>
      <c r="D81" s="28"/>
      <c r="E81" s="28"/>
      <c r="K81" s="222">
        <v>46023</v>
      </c>
      <c r="L81" s="7">
        <f>SUM(Z31,Z38:Z41)</f>
        <v>510430000</v>
      </c>
      <c r="M81" s="7">
        <f>SUM(K31,K38:K41)</f>
        <v>2552150000</v>
      </c>
      <c r="N81" s="7">
        <f>L82+M82</f>
        <v>2692265000</v>
      </c>
    </row>
    <row r="82" spans="3:14" hidden="1" x14ac:dyDescent="0.25">
      <c r="H82" s="1">
        <v>130000000</v>
      </c>
      <c r="K82" s="222">
        <v>46054</v>
      </c>
      <c r="L82" s="7">
        <f>SUM(Z32:Z33,Z42)</f>
        <v>352002500</v>
      </c>
      <c r="M82" s="7">
        <f>SUM(K32:K33,K42)</f>
        <v>2340262500</v>
      </c>
      <c r="N82" s="8">
        <f>SUM(N80:N81)</f>
        <v>5754845000</v>
      </c>
    </row>
    <row r="83" spans="3:14" hidden="1" x14ac:dyDescent="0.25">
      <c r="K83" s="44" t="s">
        <v>157</v>
      </c>
      <c r="L83" s="8">
        <f>SUM(L81:L82)</f>
        <v>862432500</v>
      </c>
      <c r="M83" s="8">
        <f>SUM(M81:M82)</f>
        <v>4892412500</v>
      </c>
    </row>
    <row r="84" spans="3:14" hidden="1" x14ac:dyDescent="0.25">
      <c r="K84" s="224"/>
      <c r="L84" s="225"/>
      <c r="N84" s="7">
        <f>L85+M85</f>
        <v>1912590000</v>
      </c>
    </row>
    <row r="85" spans="3:14" hidden="1" x14ac:dyDescent="0.25">
      <c r="K85" s="222" t="s">
        <v>163</v>
      </c>
      <c r="L85" s="223">
        <f>SUM(AA35:AA37,AA43:AA50)</f>
        <v>268515000</v>
      </c>
      <c r="M85" s="223">
        <f>SUM(K35:K37,K43:K50)</f>
        <v>1644075000</v>
      </c>
      <c r="N85" s="8">
        <f>N82+N84</f>
        <v>7667435000</v>
      </c>
    </row>
    <row r="86" spans="3:14" hidden="1" x14ac:dyDescent="0.25">
      <c r="K86" s="14" t="s">
        <v>164</v>
      </c>
      <c r="L86" s="8">
        <f>L83+L85</f>
        <v>1130947500</v>
      </c>
      <c r="M86" s="8">
        <f>M83+M85</f>
        <v>6536487500</v>
      </c>
    </row>
    <row r="87" spans="3:14" ht="15.75" thickTop="1" x14ac:dyDescent="0.25"/>
    <row r="88" spans="3:14" x14ac:dyDescent="0.25">
      <c r="N88" s="2"/>
    </row>
  </sheetData>
  <autoFilter ref="A10:AH50" xr:uid="{0584D897-46E4-45A3-9B3F-2C2CF2DE4EE4}"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43">
    <mergeCell ref="N10:N11"/>
    <mergeCell ref="A10:A11"/>
    <mergeCell ref="C10:C11"/>
    <mergeCell ref="F10:F11"/>
    <mergeCell ref="G10:G11"/>
    <mergeCell ref="H10:H11"/>
    <mergeCell ref="I10:I11"/>
    <mergeCell ref="J10:J11"/>
    <mergeCell ref="K10:K11"/>
    <mergeCell ref="L10:L11"/>
    <mergeCell ref="M10:M11"/>
    <mergeCell ref="B10:B11"/>
    <mergeCell ref="D10:D11"/>
    <mergeCell ref="E10:E11"/>
    <mergeCell ref="AG10:AG11"/>
    <mergeCell ref="O10:O11"/>
    <mergeCell ref="P10:V10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H10:AH11"/>
    <mergeCell ref="AI10:AI11"/>
    <mergeCell ref="AJ10:AJ11"/>
    <mergeCell ref="AK10:AK11"/>
    <mergeCell ref="AL10:AL11"/>
    <mergeCell ref="G33:G34"/>
    <mergeCell ref="F33:F34"/>
    <mergeCell ref="C33:C34"/>
    <mergeCell ref="B33:B34"/>
    <mergeCell ref="A33:A34"/>
    <mergeCell ref="N33:N34"/>
    <mergeCell ref="O33:O34"/>
    <mergeCell ref="I33:I34"/>
    <mergeCell ref="J33:J34"/>
    <mergeCell ref="K33:K34"/>
    <mergeCell ref="L33:L34"/>
    <mergeCell ref="M33:M3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5069-44AD-477C-9E7F-1758D5760CDC}">
  <dimension ref="B6:B16"/>
  <sheetViews>
    <sheetView workbookViewId="0">
      <selection activeCell="A31" sqref="A31:XFD42"/>
    </sheetView>
  </sheetViews>
  <sheetFormatPr defaultRowHeight="15" x14ac:dyDescent="0.25"/>
  <sheetData>
    <row r="6" spans="2:2" x14ac:dyDescent="0.25">
      <c r="B6" s="237" t="s">
        <v>184</v>
      </c>
    </row>
    <row r="7" spans="2:2" x14ac:dyDescent="0.25">
      <c r="B7" s="36" t="s">
        <v>185</v>
      </c>
    </row>
    <row r="8" spans="2:2" x14ac:dyDescent="0.25">
      <c r="B8" s="36"/>
    </row>
    <row r="9" spans="2:2" x14ac:dyDescent="0.25">
      <c r="B9" s="36"/>
    </row>
    <row r="10" spans="2:2" x14ac:dyDescent="0.25">
      <c r="B10" s="36"/>
    </row>
    <row r="11" spans="2:2" x14ac:dyDescent="0.25">
      <c r="B11" s="36"/>
    </row>
    <row r="12" spans="2:2" x14ac:dyDescent="0.25">
      <c r="B12" s="36" t="s">
        <v>186</v>
      </c>
    </row>
    <row r="13" spans="2:2" x14ac:dyDescent="0.25">
      <c r="B13" s="36" t="s">
        <v>186</v>
      </c>
    </row>
    <row r="14" spans="2:2" x14ac:dyDescent="0.25">
      <c r="B14" s="36" t="s">
        <v>187</v>
      </c>
    </row>
    <row r="15" spans="2:2" x14ac:dyDescent="0.25">
      <c r="B15" s="36" t="s">
        <v>187</v>
      </c>
    </row>
    <row r="16" spans="2:2" x14ac:dyDescent="0.25">
      <c r="B16" s="36" t="s">
        <v>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D897-46E4-45A3-9B3F-2C2CF2DE4EE4}">
  <sheetPr>
    <tabColor rgb="FFFFFF00"/>
  </sheetPr>
  <dimension ref="A1:AK81"/>
  <sheetViews>
    <sheetView showGridLines="0" topLeftCell="A10" zoomScale="85" zoomScaleNormal="85" workbookViewId="0">
      <pane xSplit="2" ySplit="2" topLeftCell="C55" activePane="bottomRight" state="frozen"/>
      <selection activeCell="A31" sqref="A31:XFD42"/>
      <selection pane="topRight" activeCell="A31" sqref="A31:XFD42"/>
      <selection pane="bottomLeft" activeCell="A31" sqref="A31:XFD42"/>
      <selection pane="bottomRight" activeCell="A31" sqref="A31:XFD42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20.85546875" customWidth="1"/>
    <col min="4" max="4" width="38.140625" bestFit="1" customWidth="1"/>
    <col min="5" max="5" width="20.7109375" bestFit="1" customWidth="1"/>
    <col min="6" max="6" width="27.7109375" bestFit="1" customWidth="1"/>
    <col min="7" max="7" width="22.85546875" customWidth="1"/>
    <col min="8" max="8" width="22.85546875" bestFit="1" customWidth="1"/>
    <col min="9" max="10" width="24.85546875" bestFit="1" customWidth="1"/>
    <col min="11" max="11" width="26.7109375" customWidth="1"/>
    <col min="12" max="12" width="21.140625" bestFit="1" customWidth="1"/>
    <col min="13" max="13" width="20.710937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8" width="4.5703125" customWidth="1" outlineLevel="1"/>
    <col min="19" max="19" width="5.5703125" bestFit="1" customWidth="1" outlineLevel="1"/>
    <col min="20" max="20" width="4.5703125" customWidth="1" outlineLevel="1"/>
    <col min="21" max="21" width="29.85546875" customWidth="1" outlineLevel="1"/>
    <col min="22" max="22" width="13.85546875" bestFit="1" customWidth="1"/>
    <col min="23" max="23" width="13.42578125" customWidth="1"/>
    <col min="24" max="24" width="21.140625" bestFit="1" customWidth="1"/>
    <col min="25" max="25" width="19.140625" bestFit="1" customWidth="1"/>
    <col min="26" max="26" width="12.42578125" customWidth="1"/>
    <col min="27" max="27" width="11.85546875" customWidth="1"/>
    <col min="28" max="30" width="14.42578125" customWidth="1"/>
    <col min="31" max="31" width="16.7109375" customWidth="1"/>
    <col min="32" max="32" width="24.85546875" bestFit="1" customWidth="1"/>
    <col min="33" max="33" width="24.5703125" customWidth="1"/>
    <col min="34" max="35" width="12.5703125" hidden="1" customWidth="1"/>
    <col min="36" max="36" width="11.5703125" hidden="1" customWidth="1"/>
  </cols>
  <sheetData>
    <row r="1" spans="1:36" ht="15.75" x14ac:dyDescent="0.25">
      <c r="B1" s="47" t="s">
        <v>33</v>
      </c>
    </row>
    <row r="2" spans="1:36" ht="9.75" customHeight="1" x14ac:dyDescent="0.25">
      <c r="B2" s="28"/>
    </row>
    <row r="3" spans="1:36" x14ac:dyDescent="0.25">
      <c r="B3" s="45"/>
      <c r="C3" t="s">
        <v>63</v>
      </c>
    </row>
    <row r="4" spans="1:36" x14ac:dyDescent="0.25">
      <c r="B4" s="46"/>
      <c r="C4" t="s">
        <v>69</v>
      </c>
    </row>
    <row r="5" spans="1:36" x14ac:dyDescent="0.25">
      <c r="B5" s="43"/>
      <c r="C5" t="s">
        <v>70</v>
      </c>
    </row>
    <row r="6" spans="1:36" x14ac:dyDescent="0.25">
      <c r="B6" s="44"/>
      <c r="C6" t="s">
        <v>65</v>
      </c>
    </row>
    <row r="7" spans="1:36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6" x14ac:dyDescent="0.25">
      <c r="B8" s="149"/>
      <c r="C8" t="s">
        <v>112</v>
      </c>
    </row>
    <row r="10" spans="1:36" ht="15" customHeight="1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36" t="s">
        <v>23</v>
      </c>
      <c r="O10" s="337"/>
      <c r="P10" s="337"/>
      <c r="Q10" s="337"/>
      <c r="R10" s="337"/>
      <c r="S10" s="337"/>
      <c r="T10" s="338"/>
      <c r="U10" s="25"/>
      <c r="V10" s="328" t="s">
        <v>52</v>
      </c>
      <c r="W10" s="328" t="s">
        <v>34</v>
      </c>
      <c r="X10" s="331" t="s">
        <v>8</v>
      </c>
      <c r="Y10" s="328" t="s">
        <v>31</v>
      </c>
      <c r="Z10" s="333" t="s">
        <v>54</v>
      </c>
      <c r="AA10" s="331" t="s">
        <v>53</v>
      </c>
      <c r="AB10" s="333" t="s">
        <v>80</v>
      </c>
      <c r="AC10" s="333" t="s">
        <v>159</v>
      </c>
      <c r="AD10" s="333" t="s">
        <v>169</v>
      </c>
      <c r="AE10" s="325" t="s">
        <v>62</v>
      </c>
      <c r="AF10" s="325" t="s">
        <v>66</v>
      </c>
      <c r="AG10" s="325" t="s">
        <v>66</v>
      </c>
      <c r="AH10" s="320" t="s">
        <v>109</v>
      </c>
      <c r="AI10" s="335" t="s">
        <v>127</v>
      </c>
      <c r="AJ10" s="320" t="s">
        <v>110</v>
      </c>
    </row>
    <row r="11" spans="1:36" ht="29.25" customHeight="1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3" t="s">
        <v>158</v>
      </c>
      <c r="U11" s="26" t="s">
        <v>57</v>
      </c>
      <c r="V11" s="329"/>
      <c r="W11" s="330"/>
      <c r="X11" s="332"/>
      <c r="Y11" s="330"/>
      <c r="Z11" s="334"/>
      <c r="AA11" s="332"/>
      <c r="AB11" s="334"/>
      <c r="AC11" s="334"/>
      <c r="AD11" s="334"/>
      <c r="AE11" s="325"/>
      <c r="AF11" s="325" t="s">
        <v>66</v>
      </c>
      <c r="AG11" s="325" t="s">
        <v>66</v>
      </c>
      <c r="AH11" s="320"/>
      <c r="AI11" s="335"/>
      <c r="AJ11" s="320"/>
    </row>
    <row r="12" spans="1:36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 (2) 2  (2)'!$B12,Detail!$E$4:$E$21)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 (2) 2  (2)'!B12,Detail!$H$4:$H$21)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3"/>
      <c r="V12" s="56">
        <f t="shared" ref="V12:V41" si="3">SUM(N12:S12)</f>
        <v>2</v>
      </c>
      <c r="W12" s="56">
        <f t="shared" ref="W12:W27" si="4">E12-V12</f>
        <v>0</v>
      </c>
      <c r="X12" s="55">
        <f t="shared" ref="X12:X26" si="5">J12*V12</f>
        <v>45000000</v>
      </c>
      <c r="Y12" s="56">
        <f t="shared" ref="Y12:Y26" si="6">K12-X12</f>
        <v>0</v>
      </c>
      <c r="Z12" s="60">
        <v>45861</v>
      </c>
      <c r="AA12" s="60">
        <v>45863</v>
      </c>
      <c r="AB12" s="58">
        <v>45894</v>
      </c>
      <c r="AC12" s="58"/>
      <c r="AD12" s="58"/>
      <c r="AE12" s="53" t="s">
        <v>63</v>
      </c>
      <c r="AF12" s="53"/>
      <c r="AG12" s="53"/>
      <c r="AH12" s="183">
        <f>VLOOKUP(B12,investasi!$B$5:$G$18,6,0)</f>
        <v>45000000</v>
      </c>
      <c r="AI12" s="184">
        <f t="shared" ref="AI12:AI27" si="7">M12</f>
        <v>45000000</v>
      </c>
      <c r="AJ12" s="184">
        <f>AH12-AI12</f>
        <v>0</v>
      </c>
    </row>
    <row r="13" spans="1:36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 (2) 2  (2)'!$B13,Detail!$E$4:$E$21)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 (2) 2  (2)'!B13,Detail!$H$4:$H$21)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8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3"/>
      <c r="V13" s="56">
        <f t="shared" si="3"/>
        <v>3</v>
      </c>
      <c r="W13" s="56">
        <f t="shared" si="4"/>
        <v>0</v>
      </c>
      <c r="X13" s="55">
        <f t="shared" si="5"/>
        <v>67500000</v>
      </c>
      <c r="Y13" s="56">
        <f t="shared" si="6"/>
        <v>0</v>
      </c>
      <c r="Z13" s="60">
        <v>45861</v>
      </c>
      <c r="AA13" s="60">
        <v>45863</v>
      </c>
      <c r="AB13" s="58">
        <v>45894</v>
      </c>
      <c r="AC13" s="58"/>
      <c r="AD13" s="58"/>
      <c r="AE13" s="53" t="s">
        <v>63</v>
      </c>
      <c r="AF13" s="53"/>
      <c r="AG13" s="53"/>
      <c r="AH13" s="183">
        <f>VLOOKUP(B13,investasi!$B$5:$G$18,6,0)</f>
        <v>67500000</v>
      </c>
      <c r="AI13" s="184">
        <f t="shared" si="7"/>
        <v>67500000</v>
      </c>
      <c r="AJ13" s="184">
        <f t="shared" ref="AJ13:AJ29" si="9">AH13-AI13</f>
        <v>0</v>
      </c>
    </row>
    <row r="14" spans="1:36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 (2) 2  (2)'!$B14,Detail!$E$4:$E$21)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 (2) 2  (2)'!B14,Detail!$H$4:$H$21)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8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3"/>
      <c r="V14" s="56">
        <f t="shared" si="3"/>
        <v>3</v>
      </c>
      <c r="W14" s="56">
        <f t="shared" si="4"/>
        <v>0</v>
      </c>
      <c r="X14" s="55">
        <f t="shared" si="5"/>
        <v>67500000</v>
      </c>
      <c r="Y14" s="56">
        <f t="shared" si="6"/>
        <v>0</v>
      </c>
      <c r="Z14" s="60">
        <v>45861</v>
      </c>
      <c r="AA14" s="60">
        <v>45863</v>
      </c>
      <c r="AB14" s="58">
        <v>45894</v>
      </c>
      <c r="AC14" s="58"/>
      <c r="AD14" s="58"/>
      <c r="AE14" s="53" t="s">
        <v>63</v>
      </c>
      <c r="AF14" s="53"/>
      <c r="AG14" s="53"/>
      <c r="AH14" s="183">
        <f>VLOOKUP(B14,investasi!$B$5:$G$18,6,0)</f>
        <v>67500000</v>
      </c>
      <c r="AI14" s="184">
        <f t="shared" si="7"/>
        <v>67500000</v>
      </c>
      <c r="AJ14" s="184">
        <f t="shared" si="9"/>
        <v>0</v>
      </c>
    </row>
    <row r="15" spans="1:36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 (2) 2  (2)'!$B15,Detail!$E$4:$E$21)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 (2) 2  (2)'!B15,Detail!$H$4:$H$21)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8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3"/>
      <c r="V15" s="56">
        <f t="shared" si="3"/>
        <v>3</v>
      </c>
      <c r="W15" s="56">
        <f t="shared" si="4"/>
        <v>0</v>
      </c>
      <c r="X15" s="55">
        <f t="shared" si="5"/>
        <v>67500000</v>
      </c>
      <c r="Y15" s="56">
        <f t="shared" si="6"/>
        <v>0</v>
      </c>
      <c r="Z15" s="60">
        <v>45868</v>
      </c>
      <c r="AA15" s="60">
        <v>45873</v>
      </c>
      <c r="AB15" s="58">
        <v>45904</v>
      </c>
      <c r="AC15" s="58"/>
      <c r="AD15" s="58"/>
      <c r="AE15" s="53" t="s">
        <v>63</v>
      </c>
      <c r="AF15" s="53"/>
      <c r="AG15" s="53"/>
      <c r="AH15" s="183">
        <f>VLOOKUP(B15,investasi!$B$5:$G$18,6,0)</f>
        <v>67500000</v>
      </c>
      <c r="AI15" s="184">
        <f t="shared" si="7"/>
        <v>67500000</v>
      </c>
      <c r="AJ15" s="184">
        <f t="shared" si="9"/>
        <v>0</v>
      </c>
    </row>
    <row r="16" spans="1:36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 (2) 2  (2)'!$B16,Detail!$E$4:$E$21)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 (2) 2  (2)'!B16,Detail!$H$4:$H$21)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8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3"/>
      <c r="V16" s="56">
        <f t="shared" si="3"/>
        <v>3</v>
      </c>
      <c r="W16" s="56">
        <f t="shared" si="4"/>
        <v>0</v>
      </c>
      <c r="X16" s="55">
        <f t="shared" si="5"/>
        <v>67500000</v>
      </c>
      <c r="Y16" s="56">
        <f t="shared" si="6"/>
        <v>0</v>
      </c>
      <c r="Z16" s="60">
        <v>45868</v>
      </c>
      <c r="AA16" s="60">
        <v>45873</v>
      </c>
      <c r="AB16" s="58">
        <v>45904</v>
      </c>
      <c r="AC16" s="58"/>
      <c r="AD16" s="58"/>
      <c r="AE16" s="53" t="s">
        <v>63</v>
      </c>
      <c r="AF16" s="53"/>
      <c r="AG16" s="53"/>
      <c r="AH16" s="183">
        <f>VLOOKUP(B16,investasi!$B$5:$G$18,6,0)</f>
        <v>67500000</v>
      </c>
      <c r="AI16" s="184">
        <f t="shared" si="7"/>
        <v>67500000</v>
      </c>
      <c r="AJ16" s="184">
        <f t="shared" si="9"/>
        <v>0</v>
      </c>
    </row>
    <row r="17" spans="1:37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 (2) 2  (2)'!$B17,Detail!$E$4:$E$21)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 (2) 2  (2)'!B17,Detail!$H$4:$H$21)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8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3"/>
      <c r="V17" s="56">
        <f t="shared" si="3"/>
        <v>2</v>
      </c>
      <c r="W17" s="56">
        <f t="shared" si="4"/>
        <v>0</v>
      </c>
      <c r="X17" s="55">
        <f t="shared" si="5"/>
        <v>45000000</v>
      </c>
      <c r="Y17" s="56">
        <f t="shared" si="6"/>
        <v>0</v>
      </c>
      <c r="Z17" s="60">
        <v>45868</v>
      </c>
      <c r="AA17" s="60">
        <v>45873</v>
      </c>
      <c r="AB17" s="58">
        <v>45904</v>
      </c>
      <c r="AC17" s="58"/>
      <c r="AD17" s="58"/>
      <c r="AE17" s="53" t="s">
        <v>63</v>
      </c>
      <c r="AF17" s="53"/>
      <c r="AG17" s="53"/>
      <c r="AH17" s="183">
        <f>VLOOKUP(B17,investasi!$B$5:$G$18,6,0)</f>
        <v>45000000</v>
      </c>
      <c r="AI17" s="184">
        <f t="shared" si="7"/>
        <v>45000000</v>
      </c>
      <c r="AJ17" s="184">
        <f t="shared" si="9"/>
        <v>0</v>
      </c>
    </row>
    <row r="18" spans="1:37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 (2) 2  (2)'!$B18,Detail!$E$4:$E$21)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 (2) 2  (2)'!B18,Detail!$H$4:$H$21)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8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3"/>
      <c r="V18" s="56">
        <f t="shared" si="3"/>
        <v>2</v>
      </c>
      <c r="W18" s="56">
        <f t="shared" si="4"/>
        <v>0</v>
      </c>
      <c r="X18" s="55">
        <f t="shared" si="5"/>
        <v>45000000</v>
      </c>
      <c r="Y18" s="56">
        <f t="shared" si="6"/>
        <v>0</v>
      </c>
      <c r="Z18" s="60">
        <v>45868</v>
      </c>
      <c r="AA18" s="60">
        <v>45873</v>
      </c>
      <c r="AB18" s="58">
        <v>45904</v>
      </c>
      <c r="AC18" s="58"/>
      <c r="AD18" s="58"/>
      <c r="AE18" s="53" t="s">
        <v>63</v>
      </c>
      <c r="AF18" s="53"/>
      <c r="AG18" s="53"/>
      <c r="AH18" s="183">
        <f>VLOOKUP(B18,investasi!$B$5:$G$18,6,0)</f>
        <v>45000000</v>
      </c>
      <c r="AI18" s="184">
        <f t="shared" si="7"/>
        <v>45000000</v>
      </c>
      <c r="AJ18" s="184">
        <f t="shared" si="9"/>
        <v>0</v>
      </c>
    </row>
    <row r="19" spans="1:37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 (2) 2  (2)'!$B19,Detail!$E$4:$E$25)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 (2) 2  (2)'!B19,Detail!$H$4:$H$25)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3"/>
      <c r="V19" s="56">
        <f t="shared" si="3"/>
        <v>1</v>
      </c>
      <c r="W19" s="56">
        <f t="shared" si="4"/>
        <v>0</v>
      </c>
      <c r="X19" s="55">
        <f t="shared" si="5"/>
        <v>114919900</v>
      </c>
      <c r="Y19" s="56">
        <f t="shared" si="6"/>
        <v>0</v>
      </c>
      <c r="Z19" s="60">
        <v>45930</v>
      </c>
      <c r="AA19" s="60">
        <f>Z19+7</f>
        <v>45937</v>
      </c>
      <c r="AB19" s="58">
        <f>AA19+30</f>
        <v>45967</v>
      </c>
      <c r="AC19" s="58">
        <f>AA19+60</f>
        <v>45997</v>
      </c>
      <c r="AD19" s="58"/>
      <c r="AE19" s="53" t="s">
        <v>63</v>
      </c>
      <c r="AF19" s="53"/>
      <c r="AG19" s="53"/>
      <c r="AH19" s="183">
        <f>VLOOKUP(B19,investasi!$B$5:$G$18,6,0)</f>
        <v>57248700</v>
      </c>
      <c r="AI19" s="184">
        <f t="shared" si="7"/>
        <v>114919900</v>
      </c>
      <c r="AJ19" s="184">
        <f t="shared" si="9"/>
        <v>-57671200</v>
      </c>
      <c r="AK19" s="59" t="s">
        <v>128</v>
      </c>
    </row>
    <row r="20" spans="1:37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 (2) 2  (2)'!$B20,Detail!$E$4:$E$25)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 (2) 2  (2)'!B20,Detail!$H$4:$H$25)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0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3"/>
      <c r="V20" s="56">
        <f t="shared" si="3"/>
        <v>2</v>
      </c>
      <c r="W20" s="56">
        <f t="shared" si="4"/>
        <v>0</v>
      </c>
      <c r="X20" s="55">
        <f t="shared" si="5"/>
        <v>45000000</v>
      </c>
      <c r="Y20" s="56">
        <f t="shared" si="6"/>
        <v>0</v>
      </c>
      <c r="Z20" s="60">
        <v>45923</v>
      </c>
      <c r="AA20" s="60">
        <f t="shared" ref="AA20:AA27" si="11">Z20+7</f>
        <v>45930</v>
      </c>
      <c r="AB20" s="58">
        <f t="shared" ref="AB20:AB27" si="12">AA20+30</f>
        <v>45960</v>
      </c>
      <c r="AC20" s="58">
        <f t="shared" ref="AC20:AC27" si="13">AA20+60</f>
        <v>45990</v>
      </c>
      <c r="AD20" s="58"/>
      <c r="AE20" s="53" t="s">
        <v>63</v>
      </c>
      <c r="AF20" s="53"/>
      <c r="AG20" s="53"/>
      <c r="AH20" s="183">
        <f>VLOOKUP(B20,investasi!$B$5:$G$18,6,0)</f>
        <v>45000000</v>
      </c>
      <c r="AI20" s="184">
        <f t="shared" si="7"/>
        <v>45000000</v>
      </c>
      <c r="AJ20" s="184">
        <f t="shared" si="9"/>
        <v>0</v>
      </c>
    </row>
    <row r="21" spans="1:37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2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3"/>
      <c r="V21" s="56">
        <f t="shared" si="3"/>
        <v>20</v>
      </c>
      <c r="W21" s="56">
        <f t="shared" si="4"/>
        <v>0</v>
      </c>
      <c r="X21" s="55">
        <f t="shared" si="5"/>
        <v>52594750</v>
      </c>
      <c r="Y21" s="56">
        <f t="shared" si="6"/>
        <v>0</v>
      </c>
      <c r="Z21" s="60">
        <v>45922</v>
      </c>
      <c r="AA21" s="60">
        <f t="shared" si="11"/>
        <v>45929</v>
      </c>
      <c r="AB21" s="58">
        <f t="shared" si="12"/>
        <v>45959</v>
      </c>
      <c r="AC21" s="58">
        <f t="shared" si="13"/>
        <v>45989</v>
      </c>
      <c r="AD21" s="58"/>
      <c r="AE21" s="53" t="s">
        <v>63</v>
      </c>
      <c r="AF21" s="53"/>
      <c r="AG21" s="53"/>
      <c r="AH21" s="183">
        <f>VLOOKUP(B21,investasi!$B$5:$G$18,6,0)</f>
        <v>52594750</v>
      </c>
      <c r="AI21" s="184">
        <f t="shared" si="7"/>
        <v>52594750</v>
      </c>
      <c r="AJ21" s="184">
        <f t="shared" si="9"/>
        <v>0</v>
      </c>
    </row>
    <row r="22" spans="1:37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/>
      <c r="U22" s="53" t="s">
        <v>58</v>
      </c>
      <c r="V22" s="56">
        <f t="shared" si="3"/>
        <v>8</v>
      </c>
      <c r="W22" s="56">
        <f t="shared" si="4"/>
        <v>0</v>
      </c>
      <c r="X22" s="55">
        <f t="shared" si="5"/>
        <v>102000000</v>
      </c>
      <c r="Y22" s="56">
        <f t="shared" si="6"/>
        <v>0</v>
      </c>
      <c r="Z22" s="60">
        <v>45925</v>
      </c>
      <c r="AA22" s="218">
        <f t="shared" si="11"/>
        <v>45932</v>
      </c>
      <c r="AB22" s="182">
        <f t="shared" si="12"/>
        <v>45962</v>
      </c>
      <c r="AC22" s="58">
        <f t="shared" si="13"/>
        <v>45992</v>
      </c>
      <c r="AD22" s="58"/>
      <c r="AE22" s="53" t="s">
        <v>63</v>
      </c>
      <c r="AF22" s="53"/>
      <c r="AG22" s="53"/>
      <c r="AH22" s="183">
        <f>VLOOKUP(B22,investasi!$B$5:$G$18,6,0)</f>
        <v>80400000</v>
      </c>
      <c r="AI22" s="184">
        <f t="shared" si="7"/>
        <v>102000000</v>
      </c>
      <c r="AJ22" s="184">
        <f t="shared" si="9"/>
        <v>-21600000</v>
      </c>
      <c r="AK22" s="59" t="s">
        <v>113</v>
      </c>
    </row>
    <row r="23" spans="1:37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3"/>
      <c r="V23" s="56">
        <f t="shared" si="3"/>
        <v>1</v>
      </c>
      <c r="W23" s="56">
        <f t="shared" si="4"/>
        <v>0</v>
      </c>
      <c r="X23" s="55">
        <f t="shared" si="5"/>
        <v>68500000</v>
      </c>
      <c r="Y23" s="56">
        <f t="shared" si="6"/>
        <v>0</v>
      </c>
      <c r="Z23" s="60">
        <v>45923</v>
      </c>
      <c r="AA23" s="218">
        <f t="shared" si="11"/>
        <v>45930</v>
      </c>
      <c r="AB23" s="182">
        <f t="shared" si="12"/>
        <v>45960</v>
      </c>
      <c r="AC23" s="58">
        <f t="shared" si="13"/>
        <v>45990</v>
      </c>
      <c r="AD23" s="58"/>
      <c r="AE23" s="53" t="s">
        <v>63</v>
      </c>
      <c r="AF23" s="53"/>
      <c r="AG23" s="53"/>
      <c r="AH23" s="183">
        <f>VLOOKUP(B23,investasi!$B$5:$G$18,6,0)</f>
        <v>68500000</v>
      </c>
      <c r="AI23" s="184">
        <f t="shared" si="7"/>
        <v>68500000</v>
      </c>
      <c r="AJ23" s="184">
        <f t="shared" si="9"/>
        <v>0</v>
      </c>
    </row>
    <row r="24" spans="1:37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>I24*20%</f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3"/>
      <c r="V24" s="56">
        <f t="shared" si="3"/>
        <v>2</v>
      </c>
      <c r="W24" s="56">
        <f t="shared" si="4"/>
        <v>0</v>
      </c>
      <c r="X24" s="55">
        <f t="shared" si="5"/>
        <v>45000000</v>
      </c>
      <c r="Y24" s="56">
        <f t="shared" si="6"/>
        <v>0</v>
      </c>
      <c r="Z24" s="218">
        <v>45925</v>
      </c>
      <c r="AA24" s="218">
        <f t="shared" si="11"/>
        <v>45932</v>
      </c>
      <c r="AB24" s="182">
        <f t="shared" si="12"/>
        <v>45962</v>
      </c>
      <c r="AC24" s="58">
        <f t="shared" si="13"/>
        <v>45992</v>
      </c>
      <c r="AD24" s="58"/>
      <c r="AE24" s="53" t="s">
        <v>63</v>
      </c>
      <c r="AF24" s="55"/>
      <c r="AG24" s="55"/>
      <c r="AH24" s="183">
        <f>VLOOKUP(B24,investasi!$B$5:$G$18,6,0)</f>
        <v>45000000</v>
      </c>
      <c r="AI24" s="184">
        <f t="shared" si="7"/>
        <v>45000000</v>
      </c>
      <c r="AJ24" s="184">
        <f t="shared" si="9"/>
        <v>0</v>
      </c>
    </row>
    <row r="25" spans="1:37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3"/>
      <c r="V25" s="56">
        <f t="shared" si="3"/>
        <v>1</v>
      </c>
      <c r="W25" s="56">
        <f t="shared" si="4"/>
        <v>0</v>
      </c>
      <c r="X25" s="55">
        <f t="shared" si="5"/>
        <v>223104820</v>
      </c>
      <c r="Y25" s="56">
        <f t="shared" si="6"/>
        <v>0</v>
      </c>
      <c r="Z25" s="218">
        <v>45930</v>
      </c>
      <c r="AA25" s="218">
        <f t="shared" si="11"/>
        <v>45937</v>
      </c>
      <c r="AB25" s="182">
        <f t="shared" si="12"/>
        <v>45967</v>
      </c>
      <c r="AC25" s="58">
        <f t="shared" si="13"/>
        <v>45997</v>
      </c>
      <c r="AD25" s="58"/>
      <c r="AE25" s="53" t="s">
        <v>63</v>
      </c>
      <c r="AF25" s="53"/>
      <c r="AG25" s="53"/>
      <c r="AH25" s="183">
        <f>VLOOKUP(B25,investasi!$B$5:$G$18,6,0)</f>
        <v>223104820</v>
      </c>
      <c r="AI25" s="184">
        <f t="shared" si="7"/>
        <v>223104820</v>
      </c>
      <c r="AJ25" s="184">
        <f t="shared" si="9"/>
        <v>0</v>
      </c>
    </row>
    <row r="26" spans="1:37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3"/>
      <c r="V26" s="56">
        <f t="shared" si="3"/>
        <v>2</v>
      </c>
      <c r="W26" s="56">
        <f t="shared" si="4"/>
        <v>0</v>
      </c>
      <c r="X26" s="55">
        <f t="shared" si="5"/>
        <v>45000000</v>
      </c>
      <c r="Y26" s="56">
        <f t="shared" si="6"/>
        <v>0</v>
      </c>
      <c r="Z26" s="218">
        <v>45940</v>
      </c>
      <c r="AA26" s="218">
        <f t="shared" si="11"/>
        <v>45947</v>
      </c>
      <c r="AB26" s="182">
        <f t="shared" si="12"/>
        <v>45977</v>
      </c>
      <c r="AC26" s="58">
        <f t="shared" si="13"/>
        <v>46007</v>
      </c>
      <c r="AD26" s="58"/>
      <c r="AE26" s="53" t="s">
        <v>63</v>
      </c>
      <c r="AF26" s="53"/>
      <c r="AG26" s="53"/>
      <c r="AH26" s="183">
        <f>VLOOKUP(B26,investasi!$B$23:$G$26,6,0)</f>
        <v>45000000</v>
      </c>
      <c r="AI26" s="184">
        <f t="shared" si="7"/>
        <v>45000000</v>
      </c>
      <c r="AJ26" s="184">
        <f t="shared" si="9"/>
        <v>0</v>
      </c>
    </row>
    <row r="27" spans="1:37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3"/>
      <c r="V27" s="56">
        <f t="shared" si="3"/>
        <v>1</v>
      </c>
      <c r="W27" s="56">
        <f t="shared" si="4"/>
        <v>0</v>
      </c>
      <c r="X27" s="55">
        <f>J27*V27+L27</f>
        <v>134761000</v>
      </c>
      <c r="Y27" s="56">
        <f>K27+L27-X27</f>
        <v>0</v>
      </c>
      <c r="Z27" s="218">
        <v>45940</v>
      </c>
      <c r="AA27" s="218">
        <f t="shared" si="11"/>
        <v>45947</v>
      </c>
      <c r="AB27" s="182">
        <f t="shared" si="12"/>
        <v>45977</v>
      </c>
      <c r="AC27" s="58">
        <f t="shared" si="13"/>
        <v>46007</v>
      </c>
      <c r="AD27" s="58"/>
      <c r="AE27" s="53" t="s">
        <v>63</v>
      </c>
      <c r="AF27" s="53"/>
      <c r="AG27" s="53"/>
      <c r="AH27" s="183">
        <f>VLOOKUP(B27,investasi!$B$23:$G$26,6,0)+investasi!I24</f>
        <v>134761000</v>
      </c>
      <c r="AI27" s="184">
        <f t="shared" si="7"/>
        <v>134761000</v>
      </c>
      <c r="AJ27" s="184">
        <f t="shared" si="9"/>
        <v>0</v>
      </c>
    </row>
    <row r="28" spans="1:37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3"/>
      <c r="V28" s="56">
        <f t="shared" si="3"/>
        <v>0</v>
      </c>
      <c r="W28" s="56"/>
      <c r="X28" s="55"/>
      <c r="Y28" s="56"/>
      <c r="Z28" s="218"/>
      <c r="AA28" s="218"/>
      <c r="AB28" s="182"/>
      <c r="AC28" s="58"/>
      <c r="AD28" s="58"/>
      <c r="AE28" s="53" t="s">
        <v>63</v>
      </c>
      <c r="AF28" s="53"/>
      <c r="AG28" s="53"/>
      <c r="AH28" s="183"/>
      <c r="AI28" s="184"/>
    </row>
    <row r="29" spans="1:37" s="59" customFormat="1" x14ac:dyDescent="0.25">
      <c r="A29" s="181">
        <v>18</v>
      </c>
      <c r="B29" s="181">
        <f>Detail!B60</f>
        <v>5200779815</v>
      </c>
      <c r="C29" s="60">
        <v>45965</v>
      </c>
      <c r="D29" s="53" t="s">
        <v>61</v>
      </c>
      <c r="E29" s="55">
        <v>1</v>
      </c>
      <c r="F29" s="55"/>
      <c r="G29" s="55">
        <f>Detail!F60</f>
        <v>685000000</v>
      </c>
      <c r="H29" s="55">
        <f t="shared" si="0"/>
        <v>685000000</v>
      </c>
      <c r="I29" s="55">
        <f t="shared" si="14"/>
        <v>342500000</v>
      </c>
      <c r="J29" s="55">
        <f t="shared" si="15"/>
        <v>68500000</v>
      </c>
      <c r="K29" s="56">
        <f>(I29*20%)+F29</f>
        <v>68500000</v>
      </c>
      <c r="L29" s="56">
        <v>66261000</v>
      </c>
      <c r="M29" s="56">
        <f t="shared" si="10"/>
        <v>134761000</v>
      </c>
      <c r="N29" s="53"/>
      <c r="O29" s="56"/>
      <c r="P29" s="53"/>
      <c r="Q29" s="53"/>
      <c r="R29" s="53">
        <v>1</v>
      </c>
      <c r="S29" s="53"/>
      <c r="T29" s="53"/>
      <c r="U29" s="53"/>
      <c r="V29" s="56">
        <f t="shared" si="3"/>
        <v>1</v>
      </c>
      <c r="W29" s="56">
        <f t="shared" ref="W29:W41" si="17">E29-V29</f>
        <v>0</v>
      </c>
      <c r="X29" s="55">
        <f>J29*V29+L29</f>
        <v>134761000</v>
      </c>
      <c r="Y29" s="56">
        <f>K29+L29-X29</f>
        <v>0</v>
      </c>
      <c r="Z29" s="218">
        <v>45989</v>
      </c>
      <c r="AA29" s="218">
        <v>46008</v>
      </c>
      <c r="AB29" s="218">
        <v>46034</v>
      </c>
      <c r="AC29" s="218">
        <f>AA29+30</f>
        <v>46038</v>
      </c>
      <c r="AD29" s="218">
        <v>46034</v>
      </c>
      <c r="AE29" s="53" t="s">
        <v>63</v>
      </c>
      <c r="AF29" s="53" t="s">
        <v>168</v>
      </c>
      <c r="AG29" s="53"/>
      <c r="AH29" s="183">
        <f>VLOOKUP(B29,investasi!$B$23:$G$26,6,0)+investasi!I26</f>
        <v>134761000</v>
      </c>
      <c r="AI29" s="184">
        <f>M29</f>
        <v>134761000</v>
      </c>
      <c r="AJ29" s="184">
        <f t="shared" si="9"/>
        <v>0</v>
      </c>
    </row>
    <row r="30" spans="1:37" s="59" customFormat="1" x14ac:dyDescent="0.25">
      <c r="A30" s="181">
        <f>A29+1</f>
        <v>19</v>
      </c>
      <c r="B30" s="181">
        <v>5200988854</v>
      </c>
      <c r="C30" s="60">
        <v>45977</v>
      </c>
      <c r="D30" s="53" t="s">
        <v>114</v>
      </c>
      <c r="E30" s="55">
        <v>150</v>
      </c>
      <c r="F30" s="55"/>
      <c r="G30" s="55">
        <v>4990500</v>
      </c>
      <c r="H30" s="55">
        <f>E30*G30</f>
        <v>748575000</v>
      </c>
      <c r="I30" s="55">
        <f t="shared" si="14"/>
        <v>374287500</v>
      </c>
      <c r="J30" s="55">
        <f t="shared" si="15"/>
        <v>499050</v>
      </c>
      <c r="K30" s="56">
        <f>(I30*20%)+F30</f>
        <v>74857500</v>
      </c>
      <c r="L30" s="56"/>
      <c r="M30" s="56">
        <f t="shared" si="10"/>
        <v>74857500</v>
      </c>
      <c r="N30" s="53"/>
      <c r="O30" s="56"/>
      <c r="P30" s="53"/>
      <c r="Q30" s="53"/>
      <c r="R30" s="53">
        <v>150</v>
      </c>
      <c r="S30" s="53"/>
      <c r="T30" s="53"/>
      <c r="U30" s="53"/>
      <c r="V30" s="56">
        <f t="shared" si="3"/>
        <v>150</v>
      </c>
      <c r="W30" s="56">
        <f t="shared" si="17"/>
        <v>0</v>
      </c>
      <c r="X30" s="55">
        <f>J30*V30+L30</f>
        <v>74857500</v>
      </c>
      <c r="Y30" s="56">
        <f>K30+L30-X30</f>
        <v>0</v>
      </c>
      <c r="Z30" s="218">
        <v>45989</v>
      </c>
      <c r="AA30" s="218">
        <v>46008</v>
      </c>
      <c r="AB30" s="218">
        <v>46034</v>
      </c>
      <c r="AC30" s="218">
        <f>AA30+30</f>
        <v>46038</v>
      </c>
      <c r="AD30" s="218">
        <v>46034</v>
      </c>
      <c r="AE30" s="53" t="s">
        <v>63</v>
      </c>
      <c r="AF30" s="53" t="s">
        <v>168</v>
      </c>
      <c r="AG30" s="53"/>
      <c r="AH30" s="183"/>
      <c r="AI30" s="184"/>
      <c r="AJ30" s="184"/>
    </row>
    <row r="31" spans="1:37" s="245" customFormat="1" ht="14.25" customHeight="1" x14ac:dyDescent="0.25">
      <c r="A31" s="235">
        <f t="shared" ref="A31:A42" si="18">A30+1</f>
        <v>20</v>
      </c>
      <c r="B31" s="235">
        <v>5200989664</v>
      </c>
      <c r="C31" s="236">
        <v>45977</v>
      </c>
      <c r="D31" s="237" t="s">
        <v>115</v>
      </c>
      <c r="E31" s="238">
        <v>100</v>
      </c>
      <c r="F31" s="238"/>
      <c r="G31" s="238">
        <v>21100000</v>
      </c>
      <c r="H31" s="238">
        <f t="shared" ref="H31:H34" si="19">E31*G31</f>
        <v>2110000000</v>
      </c>
      <c r="I31" s="238">
        <f t="shared" si="14"/>
        <v>1055000000</v>
      </c>
      <c r="J31" s="238">
        <f t="shared" si="15"/>
        <v>2110000</v>
      </c>
      <c r="K31" s="239">
        <f t="shared" ref="K31:K33" si="20">(I31*20%)+F31</f>
        <v>211000000</v>
      </c>
      <c r="L31" s="239"/>
      <c r="M31" s="239">
        <f t="shared" ref="M31:M34" si="21">SUM(K31:L31)</f>
        <v>211000000</v>
      </c>
      <c r="N31" s="237"/>
      <c r="O31" s="239"/>
      <c r="P31" s="237"/>
      <c r="Q31" s="237"/>
      <c r="R31" s="237"/>
      <c r="S31" s="237">
        <v>100</v>
      </c>
      <c r="T31" s="237"/>
      <c r="U31" s="237"/>
      <c r="V31" s="239">
        <f t="shared" si="3"/>
        <v>100</v>
      </c>
      <c r="W31" s="239">
        <f t="shared" si="17"/>
        <v>0</v>
      </c>
      <c r="X31" s="238">
        <f>J31*V31+L31</f>
        <v>211000000</v>
      </c>
      <c r="Y31" s="239">
        <f t="shared" ref="Y31:Y34" si="22">K31+L31-X31</f>
        <v>0</v>
      </c>
      <c r="Z31" s="236">
        <v>46031</v>
      </c>
      <c r="AA31" s="240"/>
      <c r="AB31" s="241">
        <f>Z31+30</f>
        <v>46061</v>
      </c>
      <c r="AC31" s="242"/>
      <c r="AD31" s="242"/>
      <c r="AE31" s="237" t="s">
        <v>69</v>
      </c>
      <c r="AF31" s="237" t="s">
        <v>160</v>
      </c>
      <c r="AG31" s="237" t="s">
        <v>178</v>
      </c>
      <c r="AH31" s="243"/>
      <c r="AI31" s="244"/>
      <c r="AJ31" s="244"/>
    </row>
    <row r="32" spans="1:37" s="245" customFormat="1" ht="14.25" customHeight="1" x14ac:dyDescent="0.25">
      <c r="A32" s="235">
        <f t="shared" si="18"/>
        <v>21</v>
      </c>
      <c r="B32" s="235">
        <v>5200989665</v>
      </c>
      <c r="C32" s="236">
        <v>45977</v>
      </c>
      <c r="D32" s="237" t="s">
        <v>115</v>
      </c>
      <c r="E32" s="238">
        <v>100</v>
      </c>
      <c r="F32" s="238"/>
      <c r="G32" s="238">
        <v>21100000</v>
      </c>
      <c r="H32" s="238">
        <f t="shared" si="19"/>
        <v>2110000000</v>
      </c>
      <c r="I32" s="238">
        <f t="shared" si="14"/>
        <v>1055000000</v>
      </c>
      <c r="J32" s="238">
        <f t="shared" si="15"/>
        <v>2110000</v>
      </c>
      <c r="K32" s="239">
        <f t="shared" si="20"/>
        <v>211000000</v>
      </c>
      <c r="L32" s="239"/>
      <c r="M32" s="239">
        <f t="shared" si="21"/>
        <v>211000000</v>
      </c>
      <c r="N32" s="237"/>
      <c r="O32" s="239"/>
      <c r="P32" s="237"/>
      <c r="Q32" s="237"/>
      <c r="R32" s="237"/>
      <c r="S32" s="237">
        <v>100</v>
      </c>
      <c r="T32" s="237"/>
      <c r="U32" s="237"/>
      <c r="V32" s="239">
        <f>SUM(N32:T32)</f>
        <v>100</v>
      </c>
      <c r="W32" s="239">
        <f t="shared" si="17"/>
        <v>0</v>
      </c>
      <c r="X32" s="238">
        <f>J32*V32+L32</f>
        <v>211000000</v>
      </c>
      <c r="Y32" s="239">
        <f t="shared" si="22"/>
        <v>0</v>
      </c>
      <c r="Z32" s="236">
        <v>46030</v>
      </c>
      <c r="AA32" s="240"/>
      <c r="AB32" s="241">
        <f>Z32+30</f>
        <v>46060</v>
      </c>
      <c r="AC32" s="242"/>
      <c r="AD32" s="242"/>
      <c r="AE32" s="237" t="s">
        <v>69</v>
      </c>
      <c r="AF32" s="237" t="s">
        <v>160</v>
      </c>
      <c r="AG32" s="237" t="s">
        <v>179</v>
      </c>
      <c r="AH32" s="243"/>
      <c r="AI32" s="244"/>
      <c r="AJ32" s="244"/>
    </row>
    <row r="33" spans="1:36" s="245" customFormat="1" ht="14.25" customHeight="1" x14ac:dyDescent="0.25">
      <c r="A33" s="235">
        <f t="shared" si="18"/>
        <v>22</v>
      </c>
      <c r="B33" s="235">
        <v>5200989666</v>
      </c>
      <c r="C33" s="236">
        <v>45977</v>
      </c>
      <c r="D33" s="237" t="s">
        <v>115</v>
      </c>
      <c r="E33" s="238">
        <v>110</v>
      </c>
      <c r="F33" s="238"/>
      <c r="G33" s="238">
        <v>21100000</v>
      </c>
      <c r="H33" s="238">
        <f t="shared" si="19"/>
        <v>2321000000</v>
      </c>
      <c r="I33" s="238">
        <f t="shared" si="14"/>
        <v>1160500000</v>
      </c>
      <c r="J33" s="238">
        <f t="shared" si="15"/>
        <v>2110000</v>
      </c>
      <c r="K33" s="239">
        <f t="shared" si="20"/>
        <v>232100000</v>
      </c>
      <c r="L33" s="239"/>
      <c r="M33" s="239">
        <f t="shared" si="21"/>
        <v>232100000</v>
      </c>
      <c r="N33" s="237"/>
      <c r="O33" s="239"/>
      <c r="P33" s="237"/>
      <c r="Q33" s="237"/>
      <c r="R33" s="237"/>
      <c r="S33" s="237"/>
      <c r="T33" s="237">
        <v>110</v>
      </c>
      <c r="U33" s="237"/>
      <c r="V33" s="239">
        <f>SUM(N33:T33)</f>
        <v>110</v>
      </c>
      <c r="W33" s="239">
        <f t="shared" si="17"/>
        <v>0</v>
      </c>
      <c r="X33" s="238">
        <f>J33*V33+L33</f>
        <v>232100000</v>
      </c>
      <c r="Y33" s="239">
        <f t="shared" si="22"/>
        <v>0</v>
      </c>
      <c r="Z33" s="236">
        <v>46027</v>
      </c>
      <c r="AA33" s="240">
        <v>45676</v>
      </c>
      <c r="AB33" s="241">
        <f>AA33+30</f>
        <v>45706</v>
      </c>
      <c r="AC33" s="242"/>
      <c r="AD33" s="242"/>
      <c r="AE33" s="237" t="s">
        <v>69</v>
      </c>
      <c r="AF33" s="237" t="s">
        <v>170</v>
      </c>
      <c r="AG33" s="237"/>
      <c r="AH33" s="243"/>
      <c r="AI33" s="244"/>
      <c r="AJ33" s="244"/>
    </row>
    <row r="34" spans="1:36" ht="14.25" customHeight="1" x14ac:dyDescent="0.25">
      <c r="A34" s="31">
        <f t="shared" si="18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19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21"/>
        <v>76500000</v>
      </c>
      <c r="N34" s="4"/>
      <c r="O34" s="7"/>
      <c r="P34" s="4"/>
      <c r="Q34" s="4"/>
      <c r="R34" s="4"/>
      <c r="S34" s="4"/>
      <c r="T34" s="4"/>
      <c r="U34" s="4"/>
      <c r="V34" s="7">
        <f t="shared" si="3"/>
        <v>0</v>
      </c>
      <c r="W34" s="7"/>
      <c r="X34" s="78"/>
      <c r="Y34" s="7">
        <f t="shared" si="22"/>
        <v>76500000</v>
      </c>
      <c r="Z34" s="16"/>
      <c r="AA34" s="221"/>
      <c r="AB34" s="185"/>
      <c r="AC34" s="27"/>
      <c r="AD34" s="27"/>
      <c r="AE34" s="4" t="s">
        <v>65</v>
      </c>
      <c r="AF34" s="4" t="s">
        <v>171</v>
      </c>
      <c r="AG34" s="4"/>
      <c r="AH34" s="82"/>
      <c r="AI34" s="2"/>
      <c r="AJ34" s="2"/>
    </row>
    <row r="35" spans="1:36" s="40" customFormat="1" x14ac:dyDescent="0.25">
      <c r="A35" s="34">
        <f t="shared" si="18"/>
        <v>24</v>
      </c>
      <c r="B35" s="34">
        <v>5200991260</v>
      </c>
      <c r="C35" s="35">
        <v>45985</v>
      </c>
      <c r="D35" s="36" t="s">
        <v>114</v>
      </c>
      <c r="E35" s="37">
        <v>150</v>
      </c>
      <c r="F35" s="37"/>
      <c r="G35" s="37">
        <v>4990500</v>
      </c>
      <c r="H35" s="37">
        <f>E35*G35</f>
        <v>748575000</v>
      </c>
      <c r="I35" s="37">
        <f t="shared" si="14"/>
        <v>374287500</v>
      </c>
      <c r="J35" s="37">
        <f t="shared" ref="J35:J42" si="23">(I35*20%)/E35</f>
        <v>499050</v>
      </c>
      <c r="K35" s="38">
        <f>(I35*20%)+F35</f>
        <v>74857500</v>
      </c>
      <c r="L35" s="38"/>
      <c r="M35" s="38">
        <f t="shared" ref="M35:M42" si="24">SUM(K35:L35)</f>
        <v>74857500</v>
      </c>
      <c r="N35" s="36"/>
      <c r="O35" s="38"/>
      <c r="P35" s="36"/>
      <c r="Q35" s="36"/>
      <c r="R35" s="36"/>
      <c r="S35" s="36"/>
      <c r="T35" s="36">
        <f>E35</f>
        <v>150</v>
      </c>
      <c r="U35" s="36"/>
      <c r="V35" s="38">
        <f t="shared" si="3"/>
        <v>0</v>
      </c>
      <c r="W35" s="38">
        <f t="shared" si="17"/>
        <v>150</v>
      </c>
      <c r="X35" s="37">
        <f t="shared" ref="X35:X41" si="25">J35*V35+L35</f>
        <v>0</v>
      </c>
      <c r="Y35" s="38">
        <f>K35+L35-X35</f>
        <v>74857500</v>
      </c>
      <c r="Z35" s="219">
        <v>46041</v>
      </c>
      <c r="AA35" s="219"/>
      <c r="AB35" s="41"/>
      <c r="AC35" s="39"/>
      <c r="AD35" s="39"/>
      <c r="AE35" s="36" t="s">
        <v>69</v>
      </c>
      <c r="AF35" s="36" t="s">
        <v>171</v>
      </c>
      <c r="AG35" s="36"/>
      <c r="AH35" s="206"/>
      <c r="AI35" s="207"/>
      <c r="AJ35" s="207"/>
    </row>
    <row r="36" spans="1:36" s="40" customFormat="1" x14ac:dyDescent="0.25">
      <c r="A36" s="34">
        <f t="shared" si="18"/>
        <v>25</v>
      </c>
      <c r="B36" s="34">
        <v>5200991264</v>
      </c>
      <c r="C36" s="35">
        <v>45985</v>
      </c>
      <c r="D36" s="36" t="s">
        <v>114</v>
      </c>
      <c r="E36" s="37">
        <v>150</v>
      </c>
      <c r="F36" s="37"/>
      <c r="G36" s="37">
        <v>4990500</v>
      </c>
      <c r="H36" s="37">
        <f t="shared" ref="H36:H39" si="26">E36*G36</f>
        <v>748575000</v>
      </c>
      <c r="I36" s="37">
        <f t="shared" si="14"/>
        <v>374287500</v>
      </c>
      <c r="J36" s="37">
        <f t="shared" si="23"/>
        <v>499050</v>
      </c>
      <c r="K36" s="38">
        <f t="shared" ref="K36:K39" si="27">(I36*20%)+F36</f>
        <v>74857500</v>
      </c>
      <c r="L36" s="38"/>
      <c r="M36" s="38">
        <f t="shared" si="24"/>
        <v>74857500</v>
      </c>
      <c r="N36" s="36"/>
      <c r="O36" s="38"/>
      <c r="P36" s="36"/>
      <c r="Q36" s="36"/>
      <c r="R36" s="36"/>
      <c r="S36" s="36"/>
      <c r="T36" s="36">
        <f>E36</f>
        <v>150</v>
      </c>
      <c r="U36" s="36"/>
      <c r="V36" s="38">
        <f t="shared" si="3"/>
        <v>0</v>
      </c>
      <c r="W36" s="38">
        <f t="shared" si="17"/>
        <v>150</v>
      </c>
      <c r="X36" s="37">
        <f t="shared" si="25"/>
        <v>0</v>
      </c>
      <c r="Y36" s="38">
        <f t="shared" ref="Y36:Y39" si="28">K36+L36-X36</f>
        <v>74857500</v>
      </c>
      <c r="Z36" s="219">
        <v>46041</v>
      </c>
      <c r="AA36" s="219"/>
      <c r="AB36" s="41"/>
      <c r="AC36" s="39"/>
      <c r="AD36" s="39"/>
      <c r="AE36" s="36" t="s">
        <v>69</v>
      </c>
      <c r="AF36" s="36" t="s">
        <v>171</v>
      </c>
      <c r="AG36" s="36"/>
      <c r="AH36" s="206"/>
      <c r="AI36" s="207"/>
      <c r="AJ36" s="207"/>
    </row>
    <row r="37" spans="1:36" s="40" customFormat="1" x14ac:dyDescent="0.25">
      <c r="A37" s="34">
        <f t="shared" si="18"/>
        <v>26</v>
      </c>
      <c r="B37" s="34">
        <v>5200991456</v>
      </c>
      <c r="C37" s="35">
        <v>45986</v>
      </c>
      <c r="D37" s="36" t="s">
        <v>114</v>
      </c>
      <c r="E37" s="37">
        <v>150</v>
      </c>
      <c r="F37" s="37"/>
      <c r="G37" s="37">
        <v>4990500</v>
      </c>
      <c r="H37" s="37">
        <f t="shared" si="26"/>
        <v>748575000</v>
      </c>
      <c r="I37" s="37">
        <f t="shared" si="14"/>
        <v>374287500</v>
      </c>
      <c r="J37" s="37">
        <f t="shared" si="23"/>
        <v>499050</v>
      </c>
      <c r="K37" s="38">
        <f t="shared" si="27"/>
        <v>74857500</v>
      </c>
      <c r="L37" s="38"/>
      <c r="M37" s="38">
        <f t="shared" si="24"/>
        <v>74857500</v>
      </c>
      <c r="N37" s="36"/>
      <c r="O37" s="38"/>
      <c r="P37" s="36"/>
      <c r="Q37" s="36"/>
      <c r="R37" s="36"/>
      <c r="S37" s="36">
        <f t="shared" ref="S37:S41" si="29">E37</f>
        <v>150</v>
      </c>
      <c r="T37" s="36"/>
      <c r="U37" s="36"/>
      <c r="V37" s="38">
        <f t="shared" si="3"/>
        <v>150</v>
      </c>
      <c r="W37" s="38">
        <f t="shared" si="17"/>
        <v>0</v>
      </c>
      <c r="X37" s="37">
        <f t="shared" si="25"/>
        <v>74857500</v>
      </c>
      <c r="Y37" s="38">
        <f t="shared" si="28"/>
        <v>0</v>
      </c>
      <c r="Z37" s="219">
        <v>46036</v>
      </c>
      <c r="AA37" s="219"/>
      <c r="AB37" s="41"/>
      <c r="AC37" s="39">
        <f>Z37+60</f>
        <v>46096</v>
      </c>
      <c r="AD37" s="39"/>
      <c r="AE37" s="36" t="s">
        <v>69</v>
      </c>
      <c r="AF37" s="36" t="s">
        <v>162</v>
      </c>
      <c r="AG37" s="36" t="s">
        <v>180</v>
      </c>
      <c r="AH37" s="206"/>
      <c r="AI37" s="207"/>
      <c r="AJ37" s="207"/>
    </row>
    <row r="38" spans="1:36" s="40" customFormat="1" x14ac:dyDescent="0.25">
      <c r="A38" s="34">
        <f t="shared" si="18"/>
        <v>27</v>
      </c>
      <c r="B38" s="34">
        <v>5200991458</v>
      </c>
      <c r="C38" s="35">
        <v>45986</v>
      </c>
      <c r="D38" s="36" t="s">
        <v>114</v>
      </c>
      <c r="E38" s="37">
        <v>150</v>
      </c>
      <c r="F38" s="37"/>
      <c r="G38" s="37">
        <v>4990500</v>
      </c>
      <c r="H38" s="37">
        <f t="shared" si="26"/>
        <v>748575000</v>
      </c>
      <c r="I38" s="37">
        <f t="shared" si="14"/>
        <v>374287500</v>
      </c>
      <c r="J38" s="37">
        <f t="shared" si="23"/>
        <v>499050</v>
      </c>
      <c r="K38" s="38">
        <f t="shared" si="27"/>
        <v>74857500</v>
      </c>
      <c r="L38" s="38"/>
      <c r="M38" s="38">
        <f t="shared" si="24"/>
        <v>74857500</v>
      </c>
      <c r="N38" s="36"/>
      <c r="O38" s="38"/>
      <c r="P38" s="36"/>
      <c r="Q38" s="36"/>
      <c r="R38" s="36"/>
      <c r="S38" s="36">
        <f t="shared" si="29"/>
        <v>150</v>
      </c>
      <c r="T38" s="36"/>
      <c r="U38" s="36"/>
      <c r="V38" s="38">
        <f t="shared" si="3"/>
        <v>150</v>
      </c>
      <c r="W38" s="38">
        <f t="shared" si="17"/>
        <v>0</v>
      </c>
      <c r="X38" s="37">
        <f t="shared" si="25"/>
        <v>74857500</v>
      </c>
      <c r="Y38" s="38">
        <f t="shared" si="28"/>
        <v>0</v>
      </c>
      <c r="Z38" s="219">
        <v>46036</v>
      </c>
      <c r="AA38" s="219"/>
      <c r="AB38" s="41"/>
      <c r="AC38" s="39">
        <f>Z38+60</f>
        <v>46096</v>
      </c>
      <c r="AD38" s="39"/>
      <c r="AE38" s="36" t="s">
        <v>69</v>
      </c>
      <c r="AF38" s="36" t="s">
        <v>162</v>
      </c>
      <c r="AG38" s="36" t="s">
        <v>180</v>
      </c>
      <c r="AH38" s="206"/>
      <c r="AI38" s="207"/>
      <c r="AJ38" s="207"/>
    </row>
    <row r="39" spans="1:36" s="40" customFormat="1" x14ac:dyDescent="0.25">
      <c r="A39" s="34">
        <f t="shared" si="18"/>
        <v>28</v>
      </c>
      <c r="B39" s="34">
        <v>5200991502</v>
      </c>
      <c r="C39" s="35">
        <v>45986</v>
      </c>
      <c r="D39" s="36" t="s">
        <v>114</v>
      </c>
      <c r="E39" s="37">
        <v>150</v>
      </c>
      <c r="F39" s="37"/>
      <c r="G39" s="37">
        <v>4990500</v>
      </c>
      <c r="H39" s="37">
        <f t="shared" si="26"/>
        <v>748575000</v>
      </c>
      <c r="I39" s="37">
        <f t="shared" si="14"/>
        <v>374287500</v>
      </c>
      <c r="J39" s="37">
        <f t="shared" si="23"/>
        <v>499050</v>
      </c>
      <c r="K39" s="38">
        <f t="shared" si="27"/>
        <v>74857500</v>
      </c>
      <c r="L39" s="38"/>
      <c r="M39" s="38">
        <f t="shared" si="24"/>
        <v>74857500</v>
      </c>
      <c r="N39" s="36"/>
      <c r="O39" s="38"/>
      <c r="P39" s="36"/>
      <c r="Q39" s="36"/>
      <c r="R39" s="36"/>
      <c r="S39" s="36">
        <f t="shared" si="29"/>
        <v>150</v>
      </c>
      <c r="T39" s="36"/>
      <c r="U39" s="36"/>
      <c r="V39" s="38">
        <f t="shared" si="3"/>
        <v>150</v>
      </c>
      <c r="W39" s="38">
        <f t="shared" si="17"/>
        <v>0</v>
      </c>
      <c r="X39" s="37">
        <f t="shared" si="25"/>
        <v>74857500</v>
      </c>
      <c r="Y39" s="38">
        <f t="shared" si="28"/>
        <v>0</v>
      </c>
      <c r="Z39" s="219">
        <v>46030</v>
      </c>
      <c r="AA39" s="219"/>
      <c r="AB39" s="41"/>
      <c r="AC39" s="39">
        <f>Z39+60</f>
        <v>46090</v>
      </c>
      <c r="AD39" s="39"/>
      <c r="AE39" s="36" t="s">
        <v>69</v>
      </c>
      <c r="AF39" s="36" t="s">
        <v>162</v>
      </c>
      <c r="AG39" s="36" t="s">
        <v>181</v>
      </c>
      <c r="AH39" s="206"/>
      <c r="AI39" s="207"/>
      <c r="AJ39" s="207"/>
    </row>
    <row r="40" spans="1:36" s="40" customFormat="1" x14ac:dyDescent="0.25">
      <c r="A40" s="34">
        <f t="shared" si="18"/>
        <v>29</v>
      </c>
      <c r="B40" s="34">
        <v>5200991503</v>
      </c>
      <c r="C40" s="35">
        <v>45986</v>
      </c>
      <c r="D40" s="36" t="s">
        <v>114</v>
      </c>
      <c r="E40" s="37">
        <v>150</v>
      </c>
      <c r="F40" s="37"/>
      <c r="G40" s="37">
        <v>4990500</v>
      </c>
      <c r="H40" s="37">
        <f>E40*G40</f>
        <v>748575000</v>
      </c>
      <c r="I40" s="37">
        <f t="shared" si="14"/>
        <v>374287500</v>
      </c>
      <c r="J40" s="37">
        <f t="shared" si="23"/>
        <v>499050</v>
      </c>
      <c r="K40" s="38">
        <f>(I40*20%)+F40</f>
        <v>74857500</v>
      </c>
      <c r="L40" s="38"/>
      <c r="M40" s="38">
        <f t="shared" si="24"/>
        <v>74857500</v>
      </c>
      <c r="N40" s="36"/>
      <c r="O40" s="38"/>
      <c r="P40" s="36"/>
      <c r="Q40" s="36"/>
      <c r="R40" s="36"/>
      <c r="S40" s="36">
        <f t="shared" si="29"/>
        <v>150</v>
      </c>
      <c r="T40" s="36"/>
      <c r="U40" s="36"/>
      <c r="V40" s="38">
        <f t="shared" si="3"/>
        <v>150</v>
      </c>
      <c r="W40" s="38">
        <f t="shared" si="17"/>
        <v>0</v>
      </c>
      <c r="X40" s="37">
        <f t="shared" si="25"/>
        <v>74857500</v>
      </c>
      <c r="Y40" s="38">
        <f>K40+L40-X40</f>
        <v>0</v>
      </c>
      <c r="Z40" s="219">
        <v>46030</v>
      </c>
      <c r="AA40" s="219"/>
      <c r="AB40" s="41"/>
      <c r="AC40" s="39">
        <f>Z40+60</f>
        <v>46090</v>
      </c>
      <c r="AD40" s="39"/>
      <c r="AE40" s="36" t="s">
        <v>69</v>
      </c>
      <c r="AF40" s="36" t="s">
        <v>162</v>
      </c>
      <c r="AG40" s="36" t="s">
        <v>181</v>
      </c>
      <c r="AH40" s="206"/>
      <c r="AI40" s="207"/>
      <c r="AJ40" s="207"/>
    </row>
    <row r="41" spans="1:36" s="40" customFormat="1" x14ac:dyDescent="0.25">
      <c r="A41" s="34">
        <f t="shared" si="18"/>
        <v>30</v>
      </c>
      <c r="B41" s="34">
        <v>5200991553</v>
      </c>
      <c r="C41" s="35">
        <v>46372</v>
      </c>
      <c r="D41" s="36" t="s">
        <v>114</v>
      </c>
      <c r="E41" s="37">
        <v>50</v>
      </c>
      <c r="F41" s="37"/>
      <c r="G41" s="37">
        <v>4990500</v>
      </c>
      <c r="H41" s="37">
        <f>E41*G41</f>
        <v>249525000</v>
      </c>
      <c r="I41" s="37">
        <f t="shared" si="14"/>
        <v>124762500</v>
      </c>
      <c r="J41" s="37">
        <f t="shared" si="23"/>
        <v>499050</v>
      </c>
      <c r="K41" s="38">
        <f>(I41*20%)+F41</f>
        <v>24952500</v>
      </c>
      <c r="L41" s="38"/>
      <c r="M41" s="38">
        <f t="shared" si="24"/>
        <v>24952500</v>
      </c>
      <c r="N41" s="36"/>
      <c r="O41" s="38"/>
      <c r="P41" s="36"/>
      <c r="Q41" s="36"/>
      <c r="R41" s="36"/>
      <c r="S41" s="36">
        <f t="shared" si="29"/>
        <v>50</v>
      </c>
      <c r="T41" s="36"/>
      <c r="U41" s="36"/>
      <c r="V41" s="38">
        <f t="shared" si="3"/>
        <v>50</v>
      </c>
      <c r="W41" s="38">
        <f t="shared" si="17"/>
        <v>0</v>
      </c>
      <c r="X41" s="37">
        <f t="shared" si="25"/>
        <v>24952500</v>
      </c>
      <c r="Y41" s="38">
        <f>K41+L41-X41</f>
        <v>0</v>
      </c>
      <c r="Z41" s="219">
        <v>46036</v>
      </c>
      <c r="AA41" s="219"/>
      <c r="AB41" s="41"/>
      <c r="AC41" s="39">
        <f>Z41+60</f>
        <v>46096</v>
      </c>
      <c r="AD41" s="39"/>
      <c r="AE41" s="36" t="s">
        <v>69</v>
      </c>
      <c r="AF41" s="36" t="s">
        <v>162</v>
      </c>
      <c r="AG41" s="36" t="s">
        <v>179</v>
      </c>
      <c r="AH41" s="206"/>
      <c r="AI41" s="207"/>
      <c r="AJ41" s="207"/>
    </row>
    <row r="42" spans="1:36" ht="14.25" customHeight="1" x14ac:dyDescent="0.25">
      <c r="A42" s="31">
        <f t="shared" si="18"/>
        <v>31</v>
      </c>
      <c r="B42" s="179">
        <v>5200996833</v>
      </c>
      <c r="C42" s="16">
        <v>46021</v>
      </c>
      <c r="D42" s="4" t="s">
        <v>153</v>
      </c>
      <c r="E42" s="78">
        <v>1</v>
      </c>
      <c r="F42" s="78"/>
      <c r="G42" s="78"/>
      <c r="H42" s="78">
        <v>1188000000</v>
      </c>
      <c r="I42" s="78">
        <f t="shared" si="14"/>
        <v>594000000</v>
      </c>
      <c r="J42" s="78">
        <f t="shared" si="23"/>
        <v>118800000</v>
      </c>
      <c r="K42" s="7">
        <f>(I42*20%)+F42</f>
        <v>118800000</v>
      </c>
      <c r="L42" s="7"/>
      <c r="M42" s="7">
        <f t="shared" si="24"/>
        <v>118800000</v>
      </c>
      <c r="N42" s="4"/>
      <c r="O42" s="7"/>
      <c r="P42" s="4"/>
      <c r="Q42" s="4"/>
      <c r="R42" s="4"/>
      <c r="S42" s="4"/>
      <c r="T42" s="4"/>
      <c r="U42" s="4"/>
      <c r="V42" s="7"/>
      <c r="W42" s="7"/>
      <c r="X42" s="78"/>
      <c r="Y42" s="7">
        <f t="shared" ref="Y42" si="30">K42+L42-X42</f>
        <v>118800000</v>
      </c>
      <c r="Z42" s="16"/>
      <c r="AA42" s="221"/>
      <c r="AB42" s="185"/>
      <c r="AC42" s="27"/>
      <c r="AD42" s="27"/>
      <c r="AE42" s="4" t="s">
        <v>65</v>
      </c>
      <c r="AF42" s="4" t="s">
        <v>171</v>
      </c>
      <c r="AG42" s="4"/>
      <c r="AH42" s="82"/>
      <c r="AI42" s="2"/>
      <c r="AJ42" s="2"/>
    </row>
    <row r="43" spans="1:36" ht="14.25" customHeight="1" x14ac:dyDescent="0.25">
      <c r="A43" s="31"/>
      <c r="B43" s="179"/>
      <c r="C43" s="16"/>
      <c r="D43" s="4"/>
      <c r="E43" s="78"/>
      <c r="F43" s="78"/>
      <c r="G43" s="78"/>
      <c r="H43" s="78"/>
      <c r="I43" s="78"/>
      <c r="J43" s="78"/>
      <c r="K43" s="7"/>
      <c r="L43" s="7"/>
      <c r="M43" s="7"/>
      <c r="N43" s="4"/>
      <c r="O43" s="7"/>
      <c r="P43" s="4"/>
      <c r="Q43" s="4"/>
      <c r="R43" s="4"/>
      <c r="S43" s="4"/>
      <c r="T43" s="4"/>
      <c r="U43" s="4"/>
      <c r="V43" s="7"/>
      <c r="W43" s="7"/>
      <c r="X43" s="78"/>
      <c r="Y43" s="7"/>
      <c r="Z43" s="16"/>
      <c r="AA43" s="221"/>
      <c r="AB43" s="185"/>
      <c r="AC43" s="27"/>
      <c r="AD43" s="27"/>
      <c r="AE43" s="4"/>
      <c r="AF43" s="4"/>
      <c r="AG43" s="4"/>
      <c r="AH43" s="82"/>
      <c r="AI43" s="2"/>
      <c r="AJ43" s="2"/>
    </row>
    <row r="44" spans="1:36" ht="15.75" thickBot="1" x14ac:dyDescent="0.3">
      <c r="A44" s="29"/>
      <c r="C44" s="15"/>
      <c r="D44" s="15"/>
      <c r="E44" s="79"/>
      <c r="F44" s="79"/>
      <c r="G44" s="79"/>
      <c r="H44" s="79"/>
      <c r="I44" s="79"/>
      <c r="J44" s="79"/>
      <c r="K44" s="2"/>
      <c r="L44" s="2"/>
      <c r="M44" s="2"/>
      <c r="O44" s="2"/>
      <c r="V44" s="2"/>
      <c r="W44" s="2"/>
      <c r="X44" s="79"/>
      <c r="Y44" s="2"/>
      <c r="Z44" s="2"/>
    </row>
    <row r="45" spans="1:36" ht="15.75" thickBot="1" x14ac:dyDescent="0.3">
      <c r="B45" s="32" t="s">
        <v>51</v>
      </c>
      <c r="C45" s="18"/>
      <c r="D45" s="18"/>
      <c r="E45" s="18"/>
      <c r="F45" s="18"/>
      <c r="G45" s="18"/>
      <c r="H45" s="19">
        <f>SUM(H12:H43)</f>
        <v>26269947200</v>
      </c>
      <c r="I45" s="19">
        <f>SUM(I12:I43)</f>
        <v>13134973600</v>
      </c>
      <c r="J45" s="18"/>
      <c r="K45" s="19">
        <f>SUM(K12:K43)</f>
        <v>2636474470</v>
      </c>
      <c r="L45" s="19">
        <f>SUM(L12:L43)</f>
        <v>132522000</v>
      </c>
      <c r="M45" s="19">
        <f>SUM(M12:M43)</f>
        <v>2768996470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>
        <f>SUM(X12:X43)</f>
        <v>2423981470</v>
      </c>
      <c r="Y45" s="19">
        <f>SUM(Y12:Y43)</f>
        <v>345015000</v>
      </c>
      <c r="Z45" s="24"/>
    </row>
    <row r="46" spans="1:36" x14ac:dyDescent="0.25">
      <c r="E46" s="9"/>
      <c r="F46" s="9"/>
      <c r="G46" s="9"/>
      <c r="H46" s="9"/>
      <c r="I46" s="9"/>
      <c r="J46" s="9"/>
      <c r="K46" s="9"/>
      <c r="L46" s="9"/>
      <c r="M46" s="9"/>
      <c r="Y46" s="2"/>
    </row>
    <row r="47" spans="1:36" x14ac:dyDescent="0.25">
      <c r="E47" s="9" t="s">
        <v>36</v>
      </c>
      <c r="F47" s="9"/>
      <c r="G47" s="9" t="s">
        <v>37</v>
      </c>
      <c r="H47" s="9" t="s">
        <v>38</v>
      </c>
      <c r="I47" s="9" t="s">
        <v>39</v>
      </c>
      <c r="J47" s="9" t="s">
        <v>40</v>
      </c>
      <c r="K47" s="9" t="s">
        <v>41</v>
      </c>
      <c r="L47" s="9"/>
      <c r="M47" s="9"/>
    </row>
    <row r="48" spans="1:36" ht="30" x14ac:dyDescent="0.25">
      <c r="E48" s="10" t="s">
        <v>32</v>
      </c>
      <c r="F48" s="11" t="s">
        <v>46</v>
      </c>
      <c r="G48" s="10" t="s">
        <v>8</v>
      </c>
      <c r="H48" s="11" t="s">
        <v>71</v>
      </c>
      <c r="I48" s="12" t="s">
        <v>42</v>
      </c>
      <c r="J48" s="12" t="s">
        <v>133</v>
      </c>
      <c r="K48" s="13" t="s">
        <v>30</v>
      </c>
      <c r="L48" s="33"/>
      <c r="M48" s="33"/>
    </row>
    <row r="49" spans="2:25" x14ac:dyDescent="0.25">
      <c r="E49" s="5">
        <v>45839</v>
      </c>
      <c r="F49" s="7">
        <f>SUM(I12:I14)</f>
        <v>900000000</v>
      </c>
      <c r="G49" s="7">
        <f>SUM(X12:X14)</f>
        <v>180000000</v>
      </c>
      <c r="H49" s="6"/>
      <c r="I49" s="6"/>
      <c r="J49" s="6"/>
      <c r="K49" s="7">
        <f>F49+G49</f>
        <v>1080000000</v>
      </c>
      <c r="L49" s="2"/>
      <c r="M49" s="2"/>
      <c r="Y49" s="2"/>
    </row>
    <row r="50" spans="2:25" x14ac:dyDescent="0.25">
      <c r="E50" s="5">
        <v>45870</v>
      </c>
      <c r="F50" s="7">
        <f>SUM(I15:I18)</f>
        <v>1125000000</v>
      </c>
      <c r="G50" s="7">
        <f>SUM(X15:X18)</f>
        <v>225000000</v>
      </c>
      <c r="H50" s="7"/>
      <c r="I50" s="7">
        <f>SUM(I19:I22)</f>
        <v>1606174500</v>
      </c>
      <c r="J50" s="7"/>
      <c r="K50" s="7">
        <f>K49+F50+G50+H50-I50-J50</f>
        <v>823825500</v>
      </c>
      <c r="L50" s="2"/>
      <c r="M50" s="2"/>
    </row>
    <row r="51" spans="2:25" x14ac:dyDescent="0.25">
      <c r="E51" s="5">
        <v>45901</v>
      </c>
      <c r="F51" s="7">
        <v>1426698600</v>
      </c>
      <c r="G51" s="7"/>
      <c r="H51" s="7"/>
      <c r="I51" s="7">
        <f>SUM(I23:I27)</f>
        <v>2250524100</v>
      </c>
      <c r="J51" s="7"/>
      <c r="K51" s="7">
        <f>K50+F51+G51+H51-I51</f>
        <v>0</v>
      </c>
      <c r="L51" s="2"/>
      <c r="M51" s="2"/>
    </row>
    <row r="52" spans="2:25" x14ac:dyDescent="0.25">
      <c r="E52" s="5">
        <v>45931</v>
      </c>
      <c r="F52" s="7"/>
      <c r="G52" s="7"/>
      <c r="H52" s="7"/>
      <c r="I52" s="7">
        <f>I29+I28</f>
        <v>342500000</v>
      </c>
      <c r="J52" s="7"/>
      <c r="K52" s="7">
        <f>K51+F52+G52+H52-I52</f>
        <v>-342500000</v>
      </c>
      <c r="L52" s="2"/>
      <c r="M52" s="2"/>
    </row>
    <row r="53" spans="2:25" x14ac:dyDescent="0.25">
      <c r="E53" s="5">
        <v>45962</v>
      </c>
      <c r="F53" s="7"/>
      <c r="G53" s="7">
        <f>SUM(M19:M28)</f>
        <v>830880470</v>
      </c>
      <c r="H53" s="7"/>
      <c r="I53" s="7">
        <f>-SUM(I19:I28)+SUM(I30:I40)</f>
        <v>2335313900</v>
      </c>
      <c r="J53" s="7">
        <v>1105000000</v>
      </c>
      <c r="K53" s="7">
        <f>K52+F53+G53+H53-I53-J53</f>
        <v>-2951933430</v>
      </c>
      <c r="L53" s="2"/>
      <c r="M53" s="2"/>
    </row>
    <row r="54" spans="2:25" x14ac:dyDescent="0.25">
      <c r="E54" s="27">
        <v>46007</v>
      </c>
      <c r="F54" s="7">
        <v>1300000000</v>
      </c>
      <c r="G54" s="7"/>
      <c r="H54" s="7"/>
      <c r="I54" s="7">
        <f>I41+I42+I43</f>
        <v>718762500</v>
      </c>
      <c r="J54" s="7"/>
      <c r="K54" s="7">
        <f>K53+F54+G54+H54-I54-J54</f>
        <v>-2370695930</v>
      </c>
      <c r="L54" s="2"/>
      <c r="M54" s="2"/>
      <c r="P54" s="1"/>
    </row>
    <row r="55" spans="2:25" x14ac:dyDescent="0.25">
      <c r="E55" s="27">
        <v>46014</v>
      </c>
      <c r="F55" s="7">
        <v>250000000</v>
      </c>
      <c r="G55" s="7"/>
      <c r="H55" s="7"/>
      <c r="I55" s="7"/>
      <c r="J55" s="7"/>
      <c r="K55" s="7">
        <f t="shared" ref="K55:K62" si="31">K54+F55+G55+H55-I55-J55</f>
        <v>-2120695930</v>
      </c>
      <c r="L55" s="2"/>
      <c r="M55" s="2"/>
      <c r="P55" s="1"/>
    </row>
    <row r="56" spans="2:25" ht="15.75" thickBot="1" x14ac:dyDescent="0.3">
      <c r="E56" s="27">
        <v>46015</v>
      </c>
      <c r="F56" s="7">
        <v>250000000</v>
      </c>
      <c r="G56" s="7"/>
      <c r="H56" s="7"/>
      <c r="I56" s="7"/>
      <c r="J56" s="7"/>
      <c r="K56" s="7">
        <f t="shared" si="31"/>
        <v>-1870695930</v>
      </c>
      <c r="L56" s="2"/>
      <c r="M56" s="2"/>
      <c r="P56" s="1"/>
    </row>
    <row r="57" spans="2:25" x14ac:dyDescent="0.25">
      <c r="B57" s="226" t="s">
        <v>174</v>
      </c>
      <c r="C57" s="227">
        <f>SUM(F63)</f>
        <v>6401698600</v>
      </c>
      <c r="E57" s="27">
        <v>46016</v>
      </c>
      <c r="F57" s="7">
        <v>250000000</v>
      </c>
      <c r="G57" s="7"/>
      <c r="H57" s="7"/>
      <c r="I57" s="7"/>
      <c r="J57" s="7"/>
      <c r="K57" s="7">
        <f t="shared" si="31"/>
        <v>-1620695930</v>
      </c>
      <c r="L57" s="2"/>
      <c r="M57" s="2"/>
      <c r="P57" s="1"/>
    </row>
    <row r="58" spans="2:25" x14ac:dyDescent="0.25">
      <c r="B58" s="228" t="s">
        <v>175</v>
      </c>
      <c r="C58" s="229">
        <f>SUM(M12:M30)</f>
        <v>1445498970</v>
      </c>
      <c r="E58" s="27">
        <v>46017</v>
      </c>
      <c r="F58" s="7">
        <v>250000000</v>
      </c>
      <c r="G58" s="7"/>
      <c r="H58" s="7"/>
      <c r="I58" s="7"/>
      <c r="J58" s="7"/>
      <c r="K58" s="7">
        <f t="shared" si="31"/>
        <v>-1370695930</v>
      </c>
      <c r="L58" s="2"/>
      <c r="M58" s="2"/>
      <c r="P58" s="1"/>
    </row>
    <row r="59" spans="2:25" x14ac:dyDescent="0.25">
      <c r="B59" s="228" t="s">
        <v>176</v>
      </c>
      <c r="C59" s="234">
        <f>-I45</f>
        <v>-13134973600</v>
      </c>
      <c r="E59" s="27">
        <v>46018</v>
      </c>
      <c r="F59" s="7">
        <v>250000000</v>
      </c>
      <c r="G59" s="7"/>
      <c r="H59" s="7"/>
      <c r="I59" s="7"/>
      <c r="J59" s="7"/>
      <c r="K59" s="7">
        <f t="shared" si="31"/>
        <v>-1120695930</v>
      </c>
      <c r="L59" s="2"/>
      <c r="M59" s="2"/>
      <c r="P59" s="1"/>
    </row>
    <row r="60" spans="2:25" x14ac:dyDescent="0.25">
      <c r="B60" s="228" t="s">
        <v>177</v>
      </c>
      <c r="C60" s="229">
        <f>SUM(I12:I30)</f>
        <v>6598486100</v>
      </c>
      <c r="E60" s="27">
        <v>46019</v>
      </c>
      <c r="F60" s="7">
        <v>250000000</v>
      </c>
      <c r="G60" s="7"/>
      <c r="H60" s="7"/>
      <c r="I60" s="7"/>
      <c r="J60" s="7"/>
      <c r="K60" s="7">
        <f t="shared" si="31"/>
        <v>-870695930</v>
      </c>
      <c r="L60" s="2"/>
      <c r="M60" s="2"/>
      <c r="P60" s="1"/>
    </row>
    <row r="61" spans="2:25" x14ac:dyDescent="0.25">
      <c r="B61" s="230" t="s">
        <v>136</v>
      </c>
      <c r="C61" s="231">
        <f>SUM(C57:C60)</f>
        <v>1310710070</v>
      </c>
      <c r="E61" s="27">
        <v>46020</v>
      </c>
      <c r="F61" s="7">
        <v>150000000</v>
      </c>
      <c r="G61" s="7"/>
      <c r="H61" s="7"/>
      <c r="I61" s="7"/>
      <c r="J61" s="7"/>
      <c r="K61" s="7">
        <f>K60+F61+G61+H61-I61-J61</f>
        <v>-720695930</v>
      </c>
      <c r="L61" s="2"/>
      <c r="M61" s="2"/>
      <c r="P61" s="1"/>
    </row>
    <row r="62" spans="2:25" x14ac:dyDescent="0.25">
      <c r="B62" s="228" t="s">
        <v>172</v>
      </c>
      <c r="C62" s="229">
        <f>J53</f>
        <v>1105000000</v>
      </c>
      <c r="E62" s="27">
        <v>46034</v>
      </c>
      <c r="F62" s="7"/>
      <c r="G62" s="7">
        <f>SUM(M29:M30)</f>
        <v>209618500</v>
      </c>
      <c r="H62" s="7"/>
      <c r="I62" s="7">
        <f>-SUM(I29:I30)</f>
        <v>-716787500</v>
      </c>
      <c r="J62" s="7"/>
      <c r="K62" s="7">
        <f t="shared" si="31"/>
        <v>205710070</v>
      </c>
      <c r="L62" s="2"/>
      <c r="M62" s="2"/>
      <c r="P62" s="1"/>
    </row>
    <row r="63" spans="2:25" ht="15.75" thickBot="1" x14ac:dyDescent="0.3">
      <c r="B63" s="232" t="s">
        <v>173</v>
      </c>
      <c r="C63" s="233">
        <f>C61-C62</f>
        <v>205710070</v>
      </c>
      <c r="E63" s="4"/>
      <c r="F63" s="8">
        <f>SUM(F49:F62)</f>
        <v>6401698600</v>
      </c>
      <c r="G63" s="8">
        <f>SUM(G49:G62)</f>
        <v>1445498970</v>
      </c>
      <c r="H63" s="8">
        <f t="shared" ref="H63" si="32">SUM(H49:H54)</f>
        <v>0</v>
      </c>
      <c r="I63" s="8">
        <f>SUM(I49:I62)</f>
        <v>6536487500</v>
      </c>
      <c r="J63" s="8">
        <f>SUM(J49:J62)</f>
        <v>1105000000</v>
      </c>
      <c r="K63" s="8">
        <f>F63+G63+H63-I63-J63</f>
        <v>205710070</v>
      </c>
      <c r="L63" s="24"/>
      <c r="M63" s="24"/>
      <c r="P63" s="2"/>
    </row>
    <row r="64" spans="2:25" ht="15.75" thickTop="1" x14ac:dyDescent="0.25">
      <c r="C64" s="2"/>
      <c r="D64" s="2"/>
      <c r="E64" s="2"/>
      <c r="F64" s="2"/>
      <c r="G64" s="2"/>
      <c r="H64" s="2"/>
    </row>
    <row r="65" spans="2:23" x14ac:dyDescent="0.25">
      <c r="E65" s="167" t="s">
        <v>47</v>
      </c>
      <c r="F65" s="168">
        <f>F63</f>
        <v>6401698600</v>
      </c>
      <c r="G65" s="167"/>
      <c r="H65" s="189"/>
      <c r="I65" s="203" t="s">
        <v>148</v>
      </c>
      <c r="J65" s="190"/>
      <c r="K65" s="2"/>
    </row>
    <row r="66" spans="2:23" x14ac:dyDescent="0.25">
      <c r="E66" s="167" t="s">
        <v>8</v>
      </c>
      <c r="F66" s="168">
        <f>SUM(M12:M27)</f>
        <v>1235880470</v>
      </c>
      <c r="G66" s="167"/>
      <c r="H66" s="189"/>
      <c r="I66" s="190" t="s">
        <v>149</v>
      </c>
      <c r="J66" s="191">
        <f>F63</f>
        <v>6401698600</v>
      </c>
      <c r="K66" s="191"/>
      <c r="L66" s="2"/>
    </row>
    <row r="67" spans="2:23" x14ac:dyDescent="0.25">
      <c r="E67" s="167" t="s">
        <v>144</v>
      </c>
      <c r="F67" s="168">
        <f>-I63</f>
        <v>-6536487500</v>
      </c>
      <c r="G67" s="167" t="s">
        <v>146</v>
      </c>
      <c r="H67" s="189"/>
      <c r="I67" s="190" t="s">
        <v>8</v>
      </c>
      <c r="J67" s="192">
        <f>G63</f>
        <v>1445498970</v>
      </c>
      <c r="K67" s="19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3" x14ac:dyDescent="0.25">
      <c r="E68" s="167" t="s">
        <v>133</v>
      </c>
      <c r="F68" s="168">
        <f>-J53</f>
        <v>-1105000000</v>
      </c>
      <c r="G68" s="167"/>
      <c r="H68" s="189"/>
      <c r="I68" s="190" t="s">
        <v>35</v>
      </c>
      <c r="J68" s="204">
        <f>-J53</f>
        <v>-1105000000</v>
      </c>
      <c r="K68" s="19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2:23" ht="15.75" thickBot="1" x14ac:dyDescent="0.3">
      <c r="E69" s="200" t="s">
        <v>145</v>
      </c>
      <c r="F69" s="201">
        <f>F65+F66+F67+F68</f>
        <v>-3908430</v>
      </c>
      <c r="G69" s="167"/>
      <c r="H69" s="189"/>
      <c r="I69" s="190" t="s">
        <v>48</v>
      </c>
      <c r="J69" s="204">
        <f>-I63</f>
        <v>-6536487500</v>
      </c>
      <c r="K69" s="191"/>
      <c r="V69" s="2"/>
    </row>
    <row r="70" spans="2:23" ht="16.5" thickTop="1" thickBot="1" x14ac:dyDescent="0.3">
      <c r="C70" s="1"/>
      <c r="E70" s="202"/>
      <c r="F70" s="202"/>
      <c r="G70" s="202"/>
      <c r="H70" s="190"/>
      <c r="I70" s="205" t="s">
        <v>167</v>
      </c>
      <c r="J70" s="204">
        <f>J66+J67+J68+J69</f>
        <v>205710070</v>
      </c>
      <c r="K70" s="189"/>
      <c r="V70" s="24"/>
    </row>
    <row r="71" spans="2:23" ht="15.75" thickTop="1" x14ac:dyDescent="0.25">
      <c r="C71" s="1"/>
      <c r="E71" s="167" t="s">
        <v>147</v>
      </c>
      <c r="F71" s="168">
        <f>SUM(I29:I40,M29:M40)</f>
        <v>7923876000</v>
      </c>
      <c r="G71" s="167" t="s">
        <v>146</v>
      </c>
      <c r="K71" s="2"/>
      <c r="V71" s="2"/>
    </row>
    <row r="72" spans="2:23" x14ac:dyDescent="0.25">
      <c r="B72" s="28"/>
      <c r="C72" s="48"/>
      <c r="E72" s="80"/>
      <c r="F72" s="2"/>
      <c r="H72" s="24"/>
      <c r="I72" s="44" t="s">
        <v>166</v>
      </c>
      <c r="J72" s="44" t="s">
        <v>157</v>
      </c>
      <c r="K72" s="77" t="s">
        <v>165</v>
      </c>
      <c r="L72" s="4" t="s">
        <v>5</v>
      </c>
      <c r="V72" s="2"/>
    </row>
    <row r="73" spans="2:23" x14ac:dyDescent="0.25">
      <c r="C73" s="1"/>
      <c r="I73" s="222">
        <v>46023</v>
      </c>
      <c r="J73" s="7">
        <f>SUM(X31,X37:X40)</f>
        <v>510430000</v>
      </c>
      <c r="K73" s="7">
        <f>SUM(I31,I37:I40)</f>
        <v>2552150000</v>
      </c>
      <c r="L73" s="7">
        <f>J73+K73</f>
        <v>3062580000</v>
      </c>
      <c r="V73" s="24"/>
      <c r="W73" s="2"/>
    </row>
    <row r="74" spans="2:23" x14ac:dyDescent="0.25">
      <c r="B74" s="28"/>
      <c r="C74" s="24"/>
      <c r="F74" s="1">
        <v>130000000</v>
      </c>
      <c r="I74" s="222">
        <v>46054</v>
      </c>
      <c r="J74" s="7">
        <f>SUM(X32:X33,X41)</f>
        <v>468052500</v>
      </c>
      <c r="K74" s="7">
        <f>SUM(I32:I33,I41)</f>
        <v>2340262500</v>
      </c>
      <c r="L74" s="7">
        <f>J74+K74</f>
        <v>2808315000</v>
      </c>
    </row>
    <row r="75" spans="2:23" x14ac:dyDescent="0.25">
      <c r="I75" s="44" t="s">
        <v>157</v>
      </c>
      <c r="J75" s="8">
        <f>SUM(J73:J74)</f>
        <v>978482500</v>
      </c>
      <c r="K75" s="8">
        <f>SUM(K73:K74)</f>
        <v>4892412500</v>
      </c>
      <c r="L75" s="8">
        <f>SUM(L73:L74)</f>
        <v>5870895000</v>
      </c>
    </row>
    <row r="76" spans="2:23" x14ac:dyDescent="0.25">
      <c r="C76" s="2"/>
      <c r="I76" s="224"/>
      <c r="J76" s="225"/>
    </row>
    <row r="77" spans="2:23" x14ac:dyDescent="0.25">
      <c r="I77" s="222" t="s">
        <v>163</v>
      </c>
      <c r="J77" s="223">
        <f>SUM(Y34:Y36,Y42:Y43)</f>
        <v>345015000</v>
      </c>
      <c r="K77" s="223">
        <f>SUM(I34:I36,I42:I43)</f>
        <v>1644075000</v>
      </c>
      <c r="L77" s="7">
        <f>J77+K77</f>
        <v>1989090000</v>
      </c>
    </row>
    <row r="78" spans="2:23" x14ac:dyDescent="0.25">
      <c r="I78" s="14" t="s">
        <v>164</v>
      </c>
      <c r="J78" s="8">
        <f>J75+J77</f>
        <v>1323497500</v>
      </c>
      <c r="K78" s="8">
        <f>K75+K77</f>
        <v>6536487500</v>
      </c>
      <c r="L78" s="8">
        <f>L75+L77</f>
        <v>7859985000</v>
      </c>
    </row>
    <row r="81" spans="12:12" x14ac:dyDescent="0.25">
      <c r="L81" s="2"/>
    </row>
  </sheetData>
  <autoFilter ref="A10:AF43" xr:uid="{0584D897-46E4-45A3-9B3F-2C2CF2DE4EE4}"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</autoFilter>
  <mergeCells count="29">
    <mergeCell ref="F10:F11"/>
    <mergeCell ref="A10:A11"/>
    <mergeCell ref="B10:B11"/>
    <mergeCell ref="C10:C11"/>
    <mergeCell ref="D10:D11"/>
    <mergeCell ref="E10:E11"/>
    <mergeCell ref="Y10:Y11"/>
    <mergeCell ref="G10:G11"/>
    <mergeCell ref="H10:H11"/>
    <mergeCell ref="I10:I11"/>
    <mergeCell ref="J10:J11"/>
    <mergeCell ref="K10:K11"/>
    <mergeCell ref="L10:L11"/>
    <mergeCell ref="M10:M11"/>
    <mergeCell ref="N10:T10"/>
    <mergeCell ref="V10:V11"/>
    <mergeCell ref="W10:W11"/>
    <mergeCell ref="X10:X11"/>
    <mergeCell ref="AH10:AH11"/>
    <mergeCell ref="AI10:AI11"/>
    <mergeCell ref="AJ10:AJ11"/>
    <mergeCell ref="Z10:Z11"/>
    <mergeCell ref="AA10:AA11"/>
    <mergeCell ref="AB10:AB11"/>
    <mergeCell ref="AC10:AC11"/>
    <mergeCell ref="AE10:AE11"/>
    <mergeCell ref="AF10:AF11"/>
    <mergeCell ref="AD10:AD11"/>
    <mergeCell ref="AG10:AG1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9007-436F-49EA-8ED6-F481C32F35DC}">
  <sheetPr>
    <tabColor rgb="FF00B050"/>
  </sheetPr>
  <dimension ref="A1:AJ77"/>
  <sheetViews>
    <sheetView showGridLines="0" zoomScale="85" zoomScaleNormal="85" workbookViewId="0">
      <pane xSplit="5" ySplit="11" topLeftCell="I24" activePane="bottomRight" state="frozen"/>
      <selection activeCell="N13" sqref="N13"/>
      <selection pane="topRight" activeCell="N13" sqref="N13"/>
      <selection pane="bottomLeft" activeCell="N13" sqref="N13"/>
      <selection pane="bottomRight" activeCell="Z35" sqref="Z35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20.71093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24.85546875" bestFit="1" customWidth="1"/>
    <col min="10" max="10" width="15.28515625" bestFit="1" customWidth="1"/>
    <col min="11" max="11" width="14.85546875" bestFit="1" customWidth="1"/>
    <col min="12" max="12" width="17" bestFit="1" customWidth="1"/>
    <col min="13" max="13" width="20.710937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8" width="4.5703125" customWidth="1" outlineLevel="1"/>
    <col min="19" max="19" width="5.5703125" bestFit="1" customWidth="1" outlineLevel="1"/>
    <col min="20" max="20" width="4.5703125" customWidth="1" outlineLevel="1"/>
    <col min="21" max="21" width="29.85546875" customWidth="1" outlineLevel="1"/>
    <col min="22" max="22" width="13.85546875" bestFit="1" customWidth="1"/>
    <col min="23" max="23" width="13.42578125" customWidth="1"/>
    <col min="24" max="24" width="21.140625" bestFit="1" customWidth="1"/>
    <col min="25" max="25" width="19.140625" bestFit="1" customWidth="1"/>
    <col min="26" max="26" width="12.42578125" customWidth="1"/>
    <col min="27" max="27" width="11.85546875" customWidth="1"/>
    <col min="28" max="29" width="14.42578125" customWidth="1"/>
    <col min="30" max="30" width="16.7109375" customWidth="1"/>
    <col min="31" max="31" width="24.85546875" bestFit="1" customWidth="1"/>
    <col min="33" max="34" width="12.5703125" hidden="1" customWidth="1"/>
    <col min="35" max="35" width="11.5703125" hidden="1" customWidth="1"/>
  </cols>
  <sheetData>
    <row r="1" spans="1:35" ht="15.75" x14ac:dyDescent="0.25">
      <c r="B1" s="47" t="s">
        <v>33</v>
      </c>
    </row>
    <row r="2" spans="1:35" x14ac:dyDescent="0.25">
      <c r="B2" s="28"/>
    </row>
    <row r="3" spans="1:35" x14ac:dyDescent="0.25">
      <c r="B3" s="45"/>
      <c r="C3" t="s">
        <v>63</v>
      </c>
    </row>
    <row r="4" spans="1:35" x14ac:dyDescent="0.25">
      <c r="B4" s="46"/>
      <c r="C4" t="s">
        <v>69</v>
      </c>
    </row>
    <row r="5" spans="1:35" x14ac:dyDescent="0.25">
      <c r="B5" s="43"/>
      <c r="C5" t="s">
        <v>70</v>
      </c>
    </row>
    <row r="6" spans="1:35" x14ac:dyDescent="0.25">
      <c r="B6" s="44"/>
      <c r="C6" t="s">
        <v>65</v>
      </c>
    </row>
    <row r="7" spans="1:35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5" x14ac:dyDescent="0.25">
      <c r="B8" s="149"/>
      <c r="C8" t="s">
        <v>112</v>
      </c>
    </row>
    <row r="10" spans="1:35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36" t="s">
        <v>23</v>
      </c>
      <c r="O10" s="337"/>
      <c r="P10" s="337"/>
      <c r="Q10" s="337"/>
      <c r="R10" s="337"/>
      <c r="S10" s="337"/>
      <c r="T10" s="338"/>
      <c r="U10" s="25"/>
      <c r="V10" s="328" t="s">
        <v>52</v>
      </c>
      <c r="W10" s="328" t="s">
        <v>34</v>
      </c>
      <c r="X10" s="331" t="s">
        <v>8</v>
      </c>
      <c r="Y10" s="328" t="s">
        <v>31</v>
      </c>
      <c r="Z10" s="333" t="s">
        <v>54</v>
      </c>
      <c r="AA10" s="331" t="s">
        <v>53</v>
      </c>
      <c r="AB10" s="333" t="s">
        <v>80</v>
      </c>
      <c r="AC10" s="333" t="s">
        <v>159</v>
      </c>
      <c r="AD10" s="325" t="s">
        <v>62</v>
      </c>
      <c r="AE10" s="325" t="s">
        <v>66</v>
      </c>
      <c r="AG10" s="320" t="s">
        <v>109</v>
      </c>
      <c r="AH10" s="335" t="s">
        <v>127</v>
      </c>
      <c r="AI10" s="320" t="s">
        <v>110</v>
      </c>
    </row>
    <row r="11" spans="1:35" ht="29.25" customHeight="1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3" t="s">
        <v>158</v>
      </c>
      <c r="U11" s="26" t="s">
        <v>57</v>
      </c>
      <c r="V11" s="329"/>
      <c r="W11" s="330"/>
      <c r="X11" s="332"/>
      <c r="Y11" s="330"/>
      <c r="Z11" s="334"/>
      <c r="AA11" s="332"/>
      <c r="AB11" s="334"/>
      <c r="AC11" s="334"/>
      <c r="AD11" s="325"/>
      <c r="AE11" s="325" t="s">
        <v>66</v>
      </c>
      <c r="AG11" s="320"/>
      <c r="AH11" s="335"/>
      <c r="AI11" s="320"/>
    </row>
    <row r="12" spans="1:35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 (2) 2 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 (2) 2 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3"/>
      <c r="V12" s="56">
        <f t="shared" ref="V12:V41" si="3">SUM(N12:S12)</f>
        <v>2</v>
      </c>
      <c r="W12" s="56">
        <f t="shared" ref="W12:W27" si="4">E12-V12</f>
        <v>0</v>
      </c>
      <c r="X12" s="55">
        <f t="shared" ref="X12:X26" si="5">J12*V12</f>
        <v>45000000</v>
      </c>
      <c r="Y12" s="56">
        <f t="shared" ref="Y12:Y26" si="6">K12-X12</f>
        <v>0</v>
      </c>
      <c r="Z12" s="60">
        <v>45861</v>
      </c>
      <c r="AA12" s="60">
        <v>45863</v>
      </c>
      <c r="AB12" s="58">
        <v>45894</v>
      </c>
      <c r="AC12" s="58"/>
      <c r="AD12" s="53" t="s">
        <v>63</v>
      </c>
      <c r="AE12" s="53"/>
      <c r="AG12" s="183">
        <f>VLOOKUP(B12,investasi!$B$5:$G$18,6,0)</f>
        <v>45000000</v>
      </c>
      <c r="AH12" s="184">
        <f>M12</f>
        <v>45000000</v>
      </c>
      <c r="AI12" s="184">
        <f>AG12-AH12</f>
        <v>0</v>
      </c>
    </row>
    <row r="13" spans="1:35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 (2) 2 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 (2) 2 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3"/>
      <c r="V13" s="56">
        <f t="shared" si="3"/>
        <v>3</v>
      </c>
      <c r="W13" s="56">
        <f t="shared" si="4"/>
        <v>0</v>
      </c>
      <c r="X13" s="55">
        <f t="shared" si="5"/>
        <v>67500000</v>
      </c>
      <c r="Y13" s="56">
        <f t="shared" si="6"/>
        <v>0</v>
      </c>
      <c r="Z13" s="60">
        <v>45861</v>
      </c>
      <c r="AA13" s="60">
        <v>45863</v>
      </c>
      <c r="AB13" s="58">
        <v>45894</v>
      </c>
      <c r="AC13" s="58"/>
      <c r="AD13" s="53" t="s">
        <v>63</v>
      </c>
      <c r="AE13" s="53"/>
      <c r="AG13" s="183">
        <f>VLOOKUP(B13,investasi!$B$5:$G$18,6,0)</f>
        <v>67500000</v>
      </c>
      <c r="AH13" s="184">
        <f t="shared" ref="AH13:AH29" si="8">M13</f>
        <v>67500000</v>
      </c>
      <c r="AI13" s="184">
        <f t="shared" ref="AI13:AI29" si="9">AG13-AH13</f>
        <v>0</v>
      </c>
    </row>
    <row r="14" spans="1:35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 (2) 2 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 (2) 2 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3"/>
      <c r="V14" s="56">
        <f t="shared" si="3"/>
        <v>3</v>
      </c>
      <c r="W14" s="56">
        <f t="shared" si="4"/>
        <v>0</v>
      </c>
      <c r="X14" s="55">
        <f t="shared" si="5"/>
        <v>67500000</v>
      </c>
      <c r="Y14" s="56">
        <f t="shared" si="6"/>
        <v>0</v>
      </c>
      <c r="Z14" s="60">
        <v>45861</v>
      </c>
      <c r="AA14" s="60">
        <v>45863</v>
      </c>
      <c r="AB14" s="58">
        <v>45894</v>
      </c>
      <c r="AC14" s="58"/>
      <c r="AD14" s="53" t="s">
        <v>63</v>
      </c>
      <c r="AE14" s="53"/>
      <c r="AG14" s="183">
        <f>VLOOKUP(B14,investasi!$B$5:$G$18,6,0)</f>
        <v>67500000</v>
      </c>
      <c r="AH14" s="184">
        <f t="shared" si="8"/>
        <v>67500000</v>
      </c>
      <c r="AI14" s="184">
        <f t="shared" si="9"/>
        <v>0</v>
      </c>
    </row>
    <row r="15" spans="1:35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 (2) 2 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 (2) 2 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3"/>
      <c r="V15" s="56">
        <f t="shared" si="3"/>
        <v>3</v>
      </c>
      <c r="W15" s="56">
        <f t="shared" si="4"/>
        <v>0</v>
      </c>
      <c r="X15" s="55">
        <f t="shared" si="5"/>
        <v>67500000</v>
      </c>
      <c r="Y15" s="56">
        <f t="shared" si="6"/>
        <v>0</v>
      </c>
      <c r="Z15" s="60">
        <v>45868</v>
      </c>
      <c r="AA15" s="60">
        <v>45873</v>
      </c>
      <c r="AB15" s="58">
        <v>45904</v>
      </c>
      <c r="AC15" s="58"/>
      <c r="AD15" s="53" t="s">
        <v>63</v>
      </c>
      <c r="AE15" s="53"/>
      <c r="AG15" s="183">
        <f>VLOOKUP(B15,investasi!$B$5:$G$18,6,0)</f>
        <v>67500000</v>
      </c>
      <c r="AH15" s="184">
        <f t="shared" si="8"/>
        <v>67500000</v>
      </c>
      <c r="AI15" s="184">
        <f t="shared" si="9"/>
        <v>0</v>
      </c>
    </row>
    <row r="16" spans="1:35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 (2) 2 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 (2) 2 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3"/>
      <c r="V16" s="56">
        <f t="shared" si="3"/>
        <v>3</v>
      </c>
      <c r="W16" s="56">
        <f t="shared" si="4"/>
        <v>0</v>
      </c>
      <c r="X16" s="55">
        <f t="shared" si="5"/>
        <v>67500000</v>
      </c>
      <c r="Y16" s="56">
        <f t="shared" si="6"/>
        <v>0</v>
      </c>
      <c r="Z16" s="60">
        <v>45868</v>
      </c>
      <c r="AA16" s="60">
        <v>45873</v>
      </c>
      <c r="AB16" s="58">
        <v>45904</v>
      </c>
      <c r="AC16" s="58"/>
      <c r="AD16" s="53" t="s">
        <v>63</v>
      </c>
      <c r="AE16" s="53"/>
      <c r="AG16" s="183">
        <f>VLOOKUP(B16,investasi!$B$5:$G$18,6,0)</f>
        <v>67500000</v>
      </c>
      <c r="AH16" s="184">
        <f t="shared" si="8"/>
        <v>67500000</v>
      </c>
      <c r="AI16" s="184">
        <f t="shared" si="9"/>
        <v>0</v>
      </c>
    </row>
    <row r="17" spans="1:36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 (2) 2 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 (2) 2 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3"/>
      <c r="V17" s="56">
        <f t="shared" si="3"/>
        <v>2</v>
      </c>
      <c r="W17" s="56">
        <f t="shared" si="4"/>
        <v>0</v>
      </c>
      <c r="X17" s="55">
        <f t="shared" si="5"/>
        <v>45000000</v>
      </c>
      <c r="Y17" s="56">
        <f t="shared" si="6"/>
        <v>0</v>
      </c>
      <c r="Z17" s="60">
        <v>45868</v>
      </c>
      <c r="AA17" s="60">
        <v>45873</v>
      </c>
      <c r="AB17" s="58">
        <v>45904</v>
      </c>
      <c r="AC17" s="58"/>
      <c r="AD17" s="53" t="s">
        <v>63</v>
      </c>
      <c r="AE17" s="53"/>
      <c r="AG17" s="183">
        <f>VLOOKUP(B17,investasi!$B$5:$G$18,6,0)</f>
        <v>45000000</v>
      </c>
      <c r="AH17" s="184">
        <f t="shared" si="8"/>
        <v>45000000</v>
      </c>
      <c r="AI17" s="184">
        <f t="shared" si="9"/>
        <v>0</v>
      </c>
    </row>
    <row r="18" spans="1:36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 (2) 2 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 (2) 2 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3"/>
      <c r="V18" s="56">
        <f t="shared" si="3"/>
        <v>2</v>
      </c>
      <c r="W18" s="56">
        <f t="shared" si="4"/>
        <v>0</v>
      </c>
      <c r="X18" s="55">
        <f t="shared" si="5"/>
        <v>45000000</v>
      </c>
      <c r="Y18" s="56">
        <f t="shared" si="6"/>
        <v>0</v>
      </c>
      <c r="Z18" s="60">
        <v>45868</v>
      </c>
      <c r="AA18" s="60">
        <v>45873</v>
      </c>
      <c r="AB18" s="58">
        <v>45904</v>
      </c>
      <c r="AC18" s="58"/>
      <c r="AD18" s="53" t="s">
        <v>63</v>
      </c>
      <c r="AE18" s="53"/>
      <c r="AG18" s="183">
        <f>VLOOKUP(B18,investasi!$B$5:$G$18,6,0)</f>
        <v>45000000</v>
      </c>
      <c r="AH18" s="184">
        <f t="shared" si="8"/>
        <v>45000000</v>
      </c>
      <c r="AI18" s="184">
        <f t="shared" si="9"/>
        <v>0</v>
      </c>
    </row>
    <row r="19" spans="1:36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 (2) 2 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 (2) 2 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3"/>
      <c r="V19" s="56">
        <f t="shared" si="3"/>
        <v>1</v>
      </c>
      <c r="W19" s="56">
        <f t="shared" si="4"/>
        <v>0</v>
      </c>
      <c r="X19" s="55">
        <f t="shared" si="5"/>
        <v>114919900</v>
      </c>
      <c r="Y19" s="56">
        <f t="shared" si="6"/>
        <v>0</v>
      </c>
      <c r="Z19" s="60">
        <v>45930</v>
      </c>
      <c r="AA19" s="60">
        <f>Z19+7</f>
        <v>45937</v>
      </c>
      <c r="AB19" s="58">
        <f>AA19+30</f>
        <v>45967</v>
      </c>
      <c r="AC19" s="58">
        <f>AA19+60</f>
        <v>45997</v>
      </c>
      <c r="AD19" s="53" t="s">
        <v>63</v>
      </c>
      <c r="AE19" s="53"/>
      <c r="AG19" s="183">
        <f>VLOOKUP(B19,investasi!$B$5:$G$18,6,0)</f>
        <v>57248700</v>
      </c>
      <c r="AH19" s="184">
        <f t="shared" si="8"/>
        <v>114919900</v>
      </c>
      <c r="AI19" s="184">
        <f t="shared" si="9"/>
        <v>-57671200</v>
      </c>
      <c r="AJ19" s="59" t="s">
        <v>128</v>
      </c>
    </row>
    <row r="20" spans="1:36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 (2) 2 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 (2) 2 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3"/>
      <c r="V20" s="56">
        <f t="shared" si="3"/>
        <v>2</v>
      </c>
      <c r="W20" s="56">
        <f t="shared" si="4"/>
        <v>0</v>
      </c>
      <c r="X20" s="55">
        <f t="shared" si="5"/>
        <v>45000000</v>
      </c>
      <c r="Y20" s="56">
        <f t="shared" si="6"/>
        <v>0</v>
      </c>
      <c r="Z20" s="60">
        <v>45923</v>
      </c>
      <c r="AA20" s="60">
        <f t="shared" ref="AA20:AA27" si="11">Z20+7</f>
        <v>45930</v>
      </c>
      <c r="AB20" s="58">
        <f t="shared" ref="AB20:AB27" si="12">AA20+30</f>
        <v>45960</v>
      </c>
      <c r="AC20" s="58">
        <f t="shared" ref="AC20:AC27" si="13">AA20+60</f>
        <v>45990</v>
      </c>
      <c r="AD20" s="53" t="s">
        <v>63</v>
      </c>
      <c r="AE20" s="53"/>
      <c r="AG20" s="183">
        <f>VLOOKUP(B20,investasi!$B$5:$G$18,6,0)</f>
        <v>45000000</v>
      </c>
      <c r="AH20" s="184">
        <f t="shared" si="8"/>
        <v>45000000</v>
      </c>
      <c r="AI20" s="184">
        <f t="shared" si="9"/>
        <v>0</v>
      </c>
    </row>
    <row r="21" spans="1:36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2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3"/>
      <c r="V21" s="56">
        <f t="shared" si="3"/>
        <v>20</v>
      </c>
      <c r="W21" s="56">
        <f t="shared" si="4"/>
        <v>0</v>
      </c>
      <c r="X21" s="55">
        <f t="shared" si="5"/>
        <v>52594750</v>
      </c>
      <c r="Y21" s="56">
        <f t="shared" si="6"/>
        <v>0</v>
      </c>
      <c r="Z21" s="60">
        <v>45922</v>
      </c>
      <c r="AA21" s="60">
        <f t="shared" si="11"/>
        <v>45929</v>
      </c>
      <c r="AB21" s="58">
        <f t="shared" si="12"/>
        <v>45959</v>
      </c>
      <c r="AC21" s="58">
        <f t="shared" si="13"/>
        <v>45989</v>
      </c>
      <c r="AD21" s="53" t="s">
        <v>63</v>
      </c>
      <c r="AE21" s="53"/>
      <c r="AG21" s="183">
        <f>VLOOKUP(B21,investasi!$B$5:$G$18,6,0)</f>
        <v>52594750</v>
      </c>
      <c r="AH21" s="184">
        <f t="shared" si="8"/>
        <v>52594750</v>
      </c>
      <c r="AI21" s="184">
        <f t="shared" si="9"/>
        <v>0</v>
      </c>
    </row>
    <row r="22" spans="1:36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/>
      <c r="U22" s="53" t="s">
        <v>58</v>
      </c>
      <c r="V22" s="56">
        <f t="shared" si="3"/>
        <v>8</v>
      </c>
      <c r="W22" s="56">
        <f t="shared" si="4"/>
        <v>0</v>
      </c>
      <c r="X22" s="55">
        <f t="shared" si="5"/>
        <v>102000000</v>
      </c>
      <c r="Y22" s="56">
        <f t="shared" si="6"/>
        <v>0</v>
      </c>
      <c r="Z22" s="60">
        <v>45925</v>
      </c>
      <c r="AA22" s="218">
        <f t="shared" si="11"/>
        <v>45932</v>
      </c>
      <c r="AB22" s="182">
        <f t="shared" si="12"/>
        <v>45962</v>
      </c>
      <c r="AC22" s="58">
        <f t="shared" si="13"/>
        <v>45992</v>
      </c>
      <c r="AD22" s="53" t="s">
        <v>63</v>
      </c>
      <c r="AE22" s="53"/>
      <c r="AG22" s="183">
        <f>VLOOKUP(B22,investasi!$B$5:$G$18,6,0)</f>
        <v>80400000</v>
      </c>
      <c r="AH22" s="184">
        <f t="shared" si="8"/>
        <v>102000000</v>
      </c>
      <c r="AI22" s="184">
        <f t="shared" si="9"/>
        <v>-21600000</v>
      </c>
      <c r="AJ22" s="59" t="s">
        <v>113</v>
      </c>
    </row>
    <row r="23" spans="1:36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3"/>
      <c r="V23" s="56">
        <f t="shared" si="3"/>
        <v>1</v>
      </c>
      <c r="W23" s="56">
        <f t="shared" si="4"/>
        <v>0</v>
      </c>
      <c r="X23" s="55">
        <f t="shared" si="5"/>
        <v>68500000</v>
      </c>
      <c r="Y23" s="56">
        <f t="shared" si="6"/>
        <v>0</v>
      </c>
      <c r="Z23" s="60">
        <v>45923</v>
      </c>
      <c r="AA23" s="218">
        <f t="shared" si="11"/>
        <v>45930</v>
      </c>
      <c r="AB23" s="182">
        <f t="shared" si="12"/>
        <v>45960</v>
      </c>
      <c r="AC23" s="58">
        <f t="shared" si="13"/>
        <v>45990</v>
      </c>
      <c r="AD23" s="53" t="s">
        <v>63</v>
      </c>
      <c r="AE23" s="53"/>
      <c r="AG23" s="183">
        <f>VLOOKUP(B23,investasi!$B$5:$G$18,6,0)</f>
        <v>68500000</v>
      </c>
      <c r="AH23" s="184">
        <f t="shared" si="8"/>
        <v>68500000</v>
      </c>
      <c r="AI23" s="184">
        <f t="shared" si="9"/>
        <v>0</v>
      </c>
    </row>
    <row r="24" spans="1:36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3"/>
      <c r="V24" s="56">
        <f t="shared" si="3"/>
        <v>2</v>
      </c>
      <c r="W24" s="56">
        <f t="shared" si="4"/>
        <v>0</v>
      </c>
      <c r="X24" s="55">
        <f t="shared" si="5"/>
        <v>45000000</v>
      </c>
      <c r="Y24" s="56">
        <f t="shared" si="6"/>
        <v>0</v>
      </c>
      <c r="Z24" s="218">
        <v>45925</v>
      </c>
      <c r="AA24" s="218">
        <f t="shared" si="11"/>
        <v>45932</v>
      </c>
      <c r="AB24" s="182">
        <f t="shared" si="12"/>
        <v>45962</v>
      </c>
      <c r="AC24" s="58">
        <f t="shared" si="13"/>
        <v>45992</v>
      </c>
      <c r="AD24" s="53" t="s">
        <v>63</v>
      </c>
      <c r="AE24" s="55"/>
      <c r="AG24" s="183">
        <f>VLOOKUP(B24,investasi!$B$5:$G$18,6,0)</f>
        <v>45000000</v>
      </c>
      <c r="AH24" s="184">
        <f t="shared" si="8"/>
        <v>45000000</v>
      </c>
      <c r="AI24" s="184">
        <f t="shared" si="9"/>
        <v>0</v>
      </c>
    </row>
    <row r="25" spans="1:36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3"/>
      <c r="V25" s="56">
        <f t="shared" si="3"/>
        <v>1</v>
      </c>
      <c r="W25" s="56">
        <f t="shared" si="4"/>
        <v>0</v>
      </c>
      <c r="X25" s="55">
        <f t="shared" si="5"/>
        <v>223104820</v>
      </c>
      <c r="Y25" s="56">
        <f t="shared" si="6"/>
        <v>0</v>
      </c>
      <c r="Z25" s="218">
        <v>45930</v>
      </c>
      <c r="AA25" s="218">
        <f t="shared" si="11"/>
        <v>45937</v>
      </c>
      <c r="AB25" s="182">
        <f t="shared" si="12"/>
        <v>45967</v>
      </c>
      <c r="AC25" s="58">
        <f t="shared" si="13"/>
        <v>45997</v>
      </c>
      <c r="AD25" s="53" t="s">
        <v>63</v>
      </c>
      <c r="AE25" s="53"/>
      <c r="AG25" s="183">
        <f>VLOOKUP(B25,investasi!$B$5:$G$18,6,0)</f>
        <v>223104820</v>
      </c>
      <c r="AH25" s="184">
        <f t="shared" si="8"/>
        <v>223104820</v>
      </c>
      <c r="AI25" s="184">
        <f t="shared" si="9"/>
        <v>0</v>
      </c>
    </row>
    <row r="26" spans="1:36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3"/>
      <c r="V26" s="56">
        <f t="shared" si="3"/>
        <v>2</v>
      </c>
      <c r="W26" s="56">
        <f t="shared" si="4"/>
        <v>0</v>
      </c>
      <c r="X26" s="55">
        <f t="shared" si="5"/>
        <v>45000000</v>
      </c>
      <c r="Y26" s="56">
        <f t="shared" si="6"/>
        <v>0</v>
      </c>
      <c r="Z26" s="218">
        <v>45940</v>
      </c>
      <c r="AA26" s="218">
        <f t="shared" si="11"/>
        <v>45947</v>
      </c>
      <c r="AB26" s="182">
        <f t="shared" si="12"/>
        <v>45977</v>
      </c>
      <c r="AC26" s="58">
        <f t="shared" si="13"/>
        <v>46007</v>
      </c>
      <c r="AD26" s="53" t="s">
        <v>63</v>
      </c>
      <c r="AE26" s="53"/>
      <c r="AG26" s="183">
        <f>VLOOKUP(B26,investasi!$B$23:$G$26,6,0)</f>
        <v>45000000</v>
      </c>
      <c r="AH26" s="184">
        <f>M26</f>
        <v>45000000</v>
      </c>
      <c r="AI26" s="184">
        <f t="shared" si="9"/>
        <v>0</v>
      </c>
    </row>
    <row r="27" spans="1:36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3"/>
      <c r="V27" s="56">
        <f t="shared" si="3"/>
        <v>1</v>
      </c>
      <c r="W27" s="56">
        <f t="shared" si="4"/>
        <v>0</v>
      </c>
      <c r="X27" s="55">
        <f>J27*V27+L27</f>
        <v>134761000</v>
      </c>
      <c r="Y27" s="56">
        <f>K27+L27-X27</f>
        <v>0</v>
      </c>
      <c r="Z27" s="218">
        <v>45940</v>
      </c>
      <c r="AA27" s="218">
        <f t="shared" si="11"/>
        <v>45947</v>
      </c>
      <c r="AB27" s="182">
        <f t="shared" si="12"/>
        <v>45977</v>
      </c>
      <c r="AC27" s="58">
        <f t="shared" si="13"/>
        <v>46007</v>
      </c>
      <c r="AD27" s="53" t="s">
        <v>63</v>
      </c>
      <c r="AE27" s="53"/>
      <c r="AG27" s="183">
        <f>VLOOKUP(B27,investasi!$B$23:$G$26,6,0)+investasi!I24</f>
        <v>134761000</v>
      </c>
      <c r="AH27" s="184">
        <f t="shared" si="8"/>
        <v>134761000</v>
      </c>
      <c r="AI27" s="184">
        <f t="shared" si="9"/>
        <v>0</v>
      </c>
    </row>
    <row r="28" spans="1:36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3"/>
      <c r="V28" s="56">
        <f t="shared" si="3"/>
        <v>0</v>
      </c>
      <c r="W28" s="56"/>
      <c r="X28" s="55"/>
      <c r="Y28" s="56"/>
      <c r="Z28" s="218"/>
      <c r="AA28" s="218"/>
      <c r="AB28" s="182"/>
      <c r="AC28" s="58"/>
      <c r="AD28" s="53" t="s">
        <v>63</v>
      </c>
      <c r="AE28" s="53"/>
      <c r="AG28" s="183"/>
      <c r="AH28" s="184"/>
    </row>
    <row r="29" spans="1:36" s="40" customFormat="1" x14ac:dyDescent="0.25">
      <c r="A29" s="34">
        <v>18</v>
      </c>
      <c r="B29" s="34">
        <f>Detail!B60</f>
        <v>5200779815</v>
      </c>
      <c r="C29" s="35">
        <v>45965</v>
      </c>
      <c r="D29" s="36" t="s">
        <v>61</v>
      </c>
      <c r="E29" s="37">
        <v>1</v>
      </c>
      <c r="F29" s="37"/>
      <c r="G29" s="37">
        <f>Detail!F60</f>
        <v>685000000</v>
      </c>
      <c r="H29" s="37">
        <f t="shared" si="0"/>
        <v>685000000</v>
      </c>
      <c r="I29" s="37">
        <f t="shared" si="14"/>
        <v>342500000</v>
      </c>
      <c r="J29" s="37">
        <f t="shared" si="15"/>
        <v>68500000</v>
      </c>
      <c r="K29" s="38">
        <f>(I29*20%)+F29</f>
        <v>68500000</v>
      </c>
      <c r="L29" s="38">
        <v>66261000</v>
      </c>
      <c r="M29" s="38">
        <f t="shared" si="10"/>
        <v>134761000</v>
      </c>
      <c r="N29" s="36"/>
      <c r="O29" s="38"/>
      <c r="P29" s="36"/>
      <c r="Q29" s="36"/>
      <c r="R29" s="36">
        <v>1</v>
      </c>
      <c r="S29" s="36"/>
      <c r="T29" s="36"/>
      <c r="U29" s="36"/>
      <c r="V29" s="38">
        <f t="shared" si="3"/>
        <v>1</v>
      </c>
      <c r="W29" s="38">
        <f t="shared" ref="W29:W41" si="17">E29-V29</f>
        <v>0</v>
      </c>
      <c r="X29" s="37">
        <f>J29*V29+L29</f>
        <v>134761000</v>
      </c>
      <c r="Y29" s="38">
        <f>K29+L29-X29</f>
        <v>0</v>
      </c>
      <c r="Z29" s="219">
        <v>45989</v>
      </c>
      <c r="AA29" s="219">
        <v>46008</v>
      </c>
      <c r="AB29" s="41">
        <f t="shared" ref="AB29:AB42" si="18">AA29+30</f>
        <v>46038</v>
      </c>
      <c r="AC29" s="39">
        <f>AA29+30</f>
        <v>46038</v>
      </c>
      <c r="AD29" s="36" t="s">
        <v>69</v>
      </c>
      <c r="AE29" s="36"/>
      <c r="AG29" s="206">
        <f>VLOOKUP(B29,investasi!$B$23:$G$26,6,0)+investasi!I26</f>
        <v>134761000</v>
      </c>
      <c r="AH29" s="207">
        <f t="shared" si="8"/>
        <v>134761000</v>
      </c>
      <c r="AI29" s="207">
        <f t="shared" si="9"/>
        <v>0</v>
      </c>
    </row>
    <row r="30" spans="1:36" s="40" customFormat="1" x14ac:dyDescent="0.25">
      <c r="A30" s="34">
        <f>A29+1</f>
        <v>19</v>
      </c>
      <c r="B30" s="34">
        <v>5200988854</v>
      </c>
      <c r="C30" s="35">
        <v>45977</v>
      </c>
      <c r="D30" s="36" t="s">
        <v>114</v>
      </c>
      <c r="E30" s="37">
        <v>150</v>
      </c>
      <c r="F30" s="37"/>
      <c r="G30" s="37">
        <v>4990500</v>
      </c>
      <c r="H30" s="37">
        <f>E30*G30</f>
        <v>748575000</v>
      </c>
      <c r="I30" s="37">
        <f t="shared" si="14"/>
        <v>374287500</v>
      </c>
      <c r="J30" s="37">
        <f t="shared" si="15"/>
        <v>499050</v>
      </c>
      <c r="K30" s="38">
        <f>(I30*20%)+F30</f>
        <v>74857500</v>
      </c>
      <c r="L30" s="38"/>
      <c r="M30" s="38">
        <f t="shared" si="10"/>
        <v>74857500</v>
      </c>
      <c r="N30" s="36"/>
      <c r="O30" s="38"/>
      <c r="P30" s="36"/>
      <c r="Q30" s="36"/>
      <c r="R30" s="36">
        <v>150</v>
      </c>
      <c r="S30" s="36"/>
      <c r="T30" s="36"/>
      <c r="U30" s="36"/>
      <c r="V30" s="38">
        <f t="shared" si="3"/>
        <v>150</v>
      </c>
      <c r="W30" s="38">
        <f t="shared" si="17"/>
        <v>0</v>
      </c>
      <c r="X30" s="37">
        <f>J30*V30+L30</f>
        <v>74857500</v>
      </c>
      <c r="Y30" s="38">
        <f>K30+L30-X30</f>
        <v>0</v>
      </c>
      <c r="Z30" s="219">
        <v>45989</v>
      </c>
      <c r="AA30" s="219">
        <v>46008</v>
      </c>
      <c r="AB30" s="41">
        <f t="shared" si="18"/>
        <v>46038</v>
      </c>
      <c r="AC30" s="39">
        <f>AA30+30</f>
        <v>46038</v>
      </c>
      <c r="AD30" s="36" t="s">
        <v>69</v>
      </c>
      <c r="AE30" s="36"/>
      <c r="AG30" s="206"/>
      <c r="AH30" s="207"/>
      <c r="AI30" s="207"/>
    </row>
    <row r="31" spans="1:36" s="40" customFormat="1" ht="14.25" customHeight="1" x14ac:dyDescent="0.25">
      <c r="A31" s="34">
        <f t="shared" ref="A31:A43" si="19">A30+1</f>
        <v>20</v>
      </c>
      <c r="B31" s="34">
        <v>5200989664</v>
      </c>
      <c r="C31" s="35">
        <v>45977</v>
      </c>
      <c r="D31" s="36" t="s">
        <v>115</v>
      </c>
      <c r="E31" s="37">
        <v>100</v>
      </c>
      <c r="F31" s="37"/>
      <c r="G31" s="37">
        <v>21100000</v>
      </c>
      <c r="H31" s="37">
        <f t="shared" ref="H31:H34" si="20">E31*G31</f>
        <v>2110000000</v>
      </c>
      <c r="I31" s="37">
        <f t="shared" si="14"/>
        <v>1055000000</v>
      </c>
      <c r="J31" s="37">
        <f t="shared" si="15"/>
        <v>2110000</v>
      </c>
      <c r="K31" s="38">
        <f t="shared" ref="K31:K33" si="21">(I31*20%)+F31</f>
        <v>211000000</v>
      </c>
      <c r="L31" s="38"/>
      <c r="M31" s="38">
        <f t="shared" si="10"/>
        <v>211000000</v>
      </c>
      <c r="N31" s="36"/>
      <c r="O31" s="38"/>
      <c r="P31" s="36"/>
      <c r="Q31" s="36"/>
      <c r="R31" s="36"/>
      <c r="S31" s="36">
        <v>100</v>
      </c>
      <c r="T31" s="36"/>
      <c r="U31" s="36"/>
      <c r="V31" s="38">
        <f t="shared" si="3"/>
        <v>100</v>
      </c>
      <c r="W31" s="38">
        <f t="shared" si="17"/>
        <v>0</v>
      </c>
      <c r="X31" s="37">
        <f>J31*V31+L31</f>
        <v>211000000</v>
      </c>
      <c r="Y31" s="38">
        <f t="shared" ref="Y31:Y34" si="22">K31+L31-X31</f>
        <v>0</v>
      </c>
      <c r="Z31" s="35">
        <v>45999</v>
      </c>
      <c r="AA31" s="219">
        <f>Z31</f>
        <v>45999</v>
      </c>
      <c r="AB31" s="41">
        <f t="shared" si="18"/>
        <v>46029</v>
      </c>
      <c r="AC31" s="39">
        <f>AA31+30</f>
        <v>46029</v>
      </c>
      <c r="AD31" s="36" t="s">
        <v>69</v>
      </c>
      <c r="AE31" s="36" t="s">
        <v>160</v>
      </c>
      <c r="AG31" s="206"/>
      <c r="AH31" s="207"/>
      <c r="AI31" s="207"/>
    </row>
    <row r="32" spans="1:36" s="40" customFormat="1" ht="14.25" customHeight="1" x14ac:dyDescent="0.25">
      <c r="A32" s="34">
        <f t="shared" si="19"/>
        <v>21</v>
      </c>
      <c r="B32" s="34">
        <v>5200989665</v>
      </c>
      <c r="C32" s="35">
        <v>45977</v>
      </c>
      <c r="D32" s="36" t="s">
        <v>115</v>
      </c>
      <c r="E32" s="37">
        <v>100</v>
      </c>
      <c r="F32" s="37"/>
      <c r="G32" s="37">
        <v>21100000</v>
      </c>
      <c r="H32" s="37">
        <f t="shared" si="20"/>
        <v>2110000000</v>
      </c>
      <c r="I32" s="37">
        <f t="shared" si="14"/>
        <v>1055000000</v>
      </c>
      <c r="J32" s="37">
        <f t="shared" si="15"/>
        <v>2110000</v>
      </c>
      <c r="K32" s="38">
        <f t="shared" si="21"/>
        <v>211000000</v>
      </c>
      <c r="L32" s="38"/>
      <c r="M32" s="38">
        <f t="shared" si="10"/>
        <v>211000000</v>
      </c>
      <c r="N32" s="36"/>
      <c r="O32" s="38"/>
      <c r="P32" s="36"/>
      <c r="Q32" s="36"/>
      <c r="R32" s="36"/>
      <c r="S32" s="36">
        <v>100</v>
      </c>
      <c r="T32" s="36"/>
      <c r="U32" s="36"/>
      <c r="V32" s="38">
        <f>SUM(N32:T32)</f>
        <v>100</v>
      </c>
      <c r="W32" s="38">
        <f t="shared" si="17"/>
        <v>0</v>
      </c>
      <c r="X32" s="37">
        <f>J32*V32+L32</f>
        <v>211000000</v>
      </c>
      <c r="Y32" s="38">
        <f t="shared" si="22"/>
        <v>0</v>
      </c>
      <c r="Z32" s="35">
        <v>46020</v>
      </c>
      <c r="AA32" s="219">
        <f t="shared" ref="AA32:AA33" si="23">Z32</f>
        <v>46020</v>
      </c>
      <c r="AB32" s="41">
        <f t="shared" si="18"/>
        <v>46050</v>
      </c>
      <c r="AC32" s="39">
        <f>AA32+30</f>
        <v>46050</v>
      </c>
      <c r="AD32" s="36" t="s">
        <v>69</v>
      </c>
      <c r="AE32" s="36" t="s">
        <v>160</v>
      </c>
      <c r="AG32" s="206"/>
      <c r="AH32" s="207"/>
      <c r="AI32" s="207"/>
    </row>
    <row r="33" spans="1:35" s="215" customFormat="1" ht="14.25" customHeight="1" x14ac:dyDescent="0.25">
      <c r="A33" s="208">
        <f t="shared" si="19"/>
        <v>22</v>
      </c>
      <c r="B33" s="208">
        <v>5200989666</v>
      </c>
      <c r="C33" s="209">
        <v>45977</v>
      </c>
      <c r="D33" s="210" t="s">
        <v>115</v>
      </c>
      <c r="E33" s="211">
        <v>110</v>
      </c>
      <c r="F33" s="211"/>
      <c r="G33" s="211">
        <v>21100000</v>
      </c>
      <c r="H33" s="211">
        <f t="shared" si="20"/>
        <v>2321000000</v>
      </c>
      <c r="I33" s="211">
        <f t="shared" si="14"/>
        <v>1160500000</v>
      </c>
      <c r="J33" s="211">
        <f t="shared" si="15"/>
        <v>2110000</v>
      </c>
      <c r="K33" s="212">
        <f t="shared" si="21"/>
        <v>232100000</v>
      </c>
      <c r="L33" s="212"/>
      <c r="M33" s="212">
        <f t="shared" si="10"/>
        <v>232100000</v>
      </c>
      <c r="N33" s="210"/>
      <c r="O33" s="212"/>
      <c r="P33" s="210"/>
      <c r="Q33" s="210"/>
      <c r="R33" s="210"/>
      <c r="S33" s="210"/>
      <c r="T33" s="210">
        <v>55</v>
      </c>
      <c r="U33" s="210"/>
      <c r="V33" s="212">
        <f>SUM(N33:T33)</f>
        <v>55</v>
      </c>
      <c r="W33" s="212">
        <f t="shared" si="17"/>
        <v>55</v>
      </c>
      <c r="X33" s="211">
        <f>J33*V33+L33</f>
        <v>116050000</v>
      </c>
      <c r="Y33" s="212">
        <f t="shared" si="22"/>
        <v>116050000</v>
      </c>
      <c r="Z33" s="209">
        <v>46027</v>
      </c>
      <c r="AA33" s="220">
        <f t="shared" si="23"/>
        <v>46027</v>
      </c>
      <c r="AB33" s="214">
        <f t="shared" si="18"/>
        <v>46057</v>
      </c>
      <c r="AC33" s="213">
        <f>AA33+30</f>
        <v>46057</v>
      </c>
      <c r="AD33" s="210" t="s">
        <v>70</v>
      </c>
      <c r="AE33" s="210" t="s">
        <v>161</v>
      </c>
      <c r="AG33" s="216"/>
      <c r="AH33" s="217"/>
      <c r="AI33" s="217"/>
    </row>
    <row r="34" spans="1:35" ht="14.25" customHeight="1" x14ac:dyDescent="0.25">
      <c r="A34" s="31">
        <f t="shared" si="19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0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4"/>
      <c r="V34" s="7">
        <f t="shared" si="3"/>
        <v>0</v>
      </c>
      <c r="W34" s="7"/>
      <c r="X34" s="78"/>
      <c r="Y34" s="7">
        <f t="shared" si="22"/>
        <v>76500000</v>
      </c>
      <c r="Z34" s="16"/>
      <c r="AA34" s="221"/>
      <c r="AB34" s="185"/>
      <c r="AC34" s="27"/>
      <c r="AD34" s="4" t="s">
        <v>65</v>
      </c>
      <c r="AE34" s="4"/>
      <c r="AG34" s="82"/>
      <c r="AH34" s="2"/>
      <c r="AI34" s="2"/>
    </row>
    <row r="35" spans="1:35" s="40" customFormat="1" x14ac:dyDescent="0.25">
      <c r="A35" s="34">
        <f t="shared" si="19"/>
        <v>24</v>
      </c>
      <c r="B35" s="34">
        <v>5200991260</v>
      </c>
      <c r="C35" s="35">
        <v>45985</v>
      </c>
      <c r="D35" s="36" t="s">
        <v>114</v>
      </c>
      <c r="E35" s="37">
        <v>150</v>
      </c>
      <c r="F35" s="37"/>
      <c r="G35" s="37">
        <v>4990500</v>
      </c>
      <c r="H35" s="37">
        <f>E35*G35</f>
        <v>748575000</v>
      </c>
      <c r="I35" s="37">
        <f t="shared" si="14"/>
        <v>374287500</v>
      </c>
      <c r="J35" s="37">
        <f t="shared" ref="J35:J42" si="24">(I35*20%)/E35</f>
        <v>499050</v>
      </c>
      <c r="K35" s="38">
        <f>(I35*20%)+F35</f>
        <v>74857500</v>
      </c>
      <c r="L35" s="38"/>
      <c r="M35" s="38">
        <f t="shared" ref="M35:M42" si="25">SUM(K35:L35)</f>
        <v>74857500</v>
      </c>
      <c r="N35" s="36"/>
      <c r="O35" s="38"/>
      <c r="P35" s="36"/>
      <c r="Q35" s="36"/>
      <c r="R35" s="36"/>
      <c r="S35" s="36">
        <f>E35</f>
        <v>150</v>
      </c>
      <c r="T35" s="36"/>
      <c r="U35" s="36"/>
      <c r="V35" s="38">
        <f t="shared" si="3"/>
        <v>150</v>
      </c>
      <c r="W35" s="38">
        <f t="shared" si="17"/>
        <v>0</v>
      </c>
      <c r="X35" s="37">
        <f t="shared" ref="X35:X41" si="26">J35*V35+L35</f>
        <v>74857500</v>
      </c>
      <c r="Y35" s="38">
        <f>K35+L35-X35</f>
        <v>0</v>
      </c>
      <c r="Z35" s="219">
        <f>C35+14</f>
        <v>45999</v>
      </c>
      <c r="AA35" s="219">
        <f>Z35</f>
        <v>45999</v>
      </c>
      <c r="AB35" s="41">
        <f t="shared" si="18"/>
        <v>46029</v>
      </c>
      <c r="AC35" s="39">
        <f>AA35+30</f>
        <v>46029</v>
      </c>
      <c r="AD35" s="36" t="s">
        <v>69</v>
      </c>
      <c r="AE35" s="36"/>
      <c r="AG35" s="206"/>
      <c r="AH35" s="207"/>
      <c r="AI35" s="207"/>
    </row>
    <row r="36" spans="1:35" s="40" customFormat="1" x14ac:dyDescent="0.25">
      <c r="A36" s="34">
        <f t="shared" si="19"/>
        <v>25</v>
      </c>
      <c r="B36" s="34">
        <v>5200991264</v>
      </c>
      <c r="C36" s="35">
        <v>45985</v>
      </c>
      <c r="D36" s="36" t="s">
        <v>114</v>
      </c>
      <c r="E36" s="37">
        <v>150</v>
      </c>
      <c r="F36" s="37"/>
      <c r="G36" s="37">
        <v>4990500</v>
      </c>
      <c r="H36" s="37">
        <f t="shared" ref="H36:H39" si="27">E36*G36</f>
        <v>748575000</v>
      </c>
      <c r="I36" s="37">
        <f t="shared" si="14"/>
        <v>374287500</v>
      </c>
      <c r="J36" s="37">
        <f t="shared" si="24"/>
        <v>499050</v>
      </c>
      <c r="K36" s="38">
        <f t="shared" ref="K36:K39" si="28">(I36*20%)+F36</f>
        <v>74857500</v>
      </c>
      <c r="L36" s="38"/>
      <c r="M36" s="38">
        <f t="shared" si="25"/>
        <v>74857500</v>
      </c>
      <c r="N36" s="36"/>
      <c r="O36" s="38"/>
      <c r="P36" s="36"/>
      <c r="Q36" s="36"/>
      <c r="R36" s="36"/>
      <c r="S36" s="36">
        <f t="shared" ref="S36:S41" si="29">E36</f>
        <v>150</v>
      </c>
      <c r="T36" s="36"/>
      <c r="U36" s="36"/>
      <c r="V36" s="38">
        <f t="shared" si="3"/>
        <v>150</v>
      </c>
      <c r="W36" s="38">
        <f t="shared" si="17"/>
        <v>0</v>
      </c>
      <c r="X36" s="37">
        <f t="shared" si="26"/>
        <v>74857500</v>
      </c>
      <c r="Y36" s="38">
        <f t="shared" ref="Y36:Y39" si="30">K36+L36-X36</f>
        <v>0</v>
      </c>
      <c r="Z36" s="219">
        <f t="shared" ref="Z36:Z42" si="31">C36+21</f>
        <v>46006</v>
      </c>
      <c r="AA36" s="219">
        <f t="shared" ref="AA36:AA41" si="32">Z36</f>
        <v>46006</v>
      </c>
      <c r="AB36" s="41">
        <f t="shared" si="18"/>
        <v>46036</v>
      </c>
      <c r="AC36" s="39">
        <f t="shared" ref="AC36:AC41" si="33">AA36+30</f>
        <v>46036</v>
      </c>
      <c r="AD36" s="36" t="s">
        <v>69</v>
      </c>
      <c r="AE36" s="36"/>
      <c r="AG36" s="206"/>
      <c r="AH36" s="207"/>
      <c r="AI36" s="207"/>
    </row>
    <row r="37" spans="1:35" s="40" customFormat="1" x14ac:dyDescent="0.25">
      <c r="A37" s="34">
        <f t="shared" si="19"/>
        <v>26</v>
      </c>
      <c r="B37" s="34">
        <v>5200991456</v>
      </c>
      <c r="C37" s="35">
        <v>45986</v>
      </c>
      <c r="D37" s="36" t="s">
        <v>114</v>
      </c>
      <c r="E37" s="37">
        <v>150</v>
      </c>
      <c r="F37" s="37"/>
      <c r="G37" s="37">
        <v>4990500</v>
      </c>
      <c r="H37" s="37">
        <f t="shared" si="27"/>
        <v>748575000</v>
      </c>
      <c r="I37" s="37">
        <f t="shared" si="14"/>
        <v>374287500</v>
      </c>
      <c r="J37" s="37">
        <f t="shared" si="24"/>
        <v>499050</v>
      </c>
      <c r="K37" s="38">
        <f t="shared" si="28"/>
        <v>74857500</v>
      </c>
      <c r="L37" s="38"/>
      <c r="M37" s="38">
        <f t="shared" si="25"/>
        <v>74857500</v>
      </c>
      <c r="N37" s="36"/>
      <c r="O37" s="38"/>
      <c r="P37" s="36"/>
      <c r="Q37" s="36"/>
      <c r="R37" s="36"/>
      <c r="S37" s="36">
        <f t="shared" si="29"/>
        <v>150</v>
      </c>
      <c r="T37" s="36"/>
      <c r="U37" s="36"/>
      <c r="V37" s="38">
        <f t="shared" si="3"/>
        <v>150</v>
      </c>
      <c r="W37" s="38">
        <f t="shared" si="17"/>
        <v>0</v>
      </c>
      <c r="X37" s="37">
        <f t="shared" si="26"/>
        <v>74857500</v>
      </c>
      <c r="Y37" s="38">
        <f t="shared" si="30"/>
        <v>0</v>
      </c>
      <c r="Z37" s="219">
        <v>46014</v>
      </c>
      <c r="AA37" s="219">
        <f t="shared" si="32"/>
        <v>46014</v>
      </c>
      <c r="AB37" s="41">
        <f t="shared" si="18"/>
        <v>46044</v>
      </c>
      <c r="AC37" s="39">
        <f t="shared" si="33"/>
        <v>46044</v>
      </c>
      <c r="AD37" s="36" t="s">
        <v>69</v>
      </c>
      <c r="AE37" s="36" t="s">
        <v>162</v>
      </c>
      <c r="AG37" s="206"/>
      <c r="AH37" s="207"/>
      <c r="AI37" s="207"/>
    </row>
    <row r="38" spans="1:35" s="40" customFormat="1" x14ac:dyDescent="0.25">
      <c r="A38" s="34">
        <f t="shared" si="19"/>
        <v>27</v>
      </c>
      <c r="B38" s="34">
        <v>5200991458</v>
      </c>
      <c r="C38" s="35">
        <v>45986</v>
      </c>
      <c r="D38" s="36" t="s">
        <v>114</v>
      </c>
      <c r="E38" s="37">
        <v>150</v>
      </c>
      <c r="F38" s="37"/>
      <c r="G38" s="37">
        <v>4990500</v>
      </c>
      <c r="H38" s="37">
        <f t="shared" si="27"/>
        <v>748575000</v>
      </c>
      <c r="I38" s="37">
        <f t="shared" si="14"/>
        <v>374287500</v>
      </c>
      <c r="J38" s="37">
        <f t="shared" si="24"/>
        <v>499050</v>
      </c>
      <c r="K38" s="38">
        <f t="shared" si="28"/>
        <v>74857500</v>
      </c>
      <c r="L38" s="38"/>
      <c r="M38" s="38">
        <f t="shared" si="25"/>
        <v>74857500</v>
      </c>
      <c r="N38" s="36"/>
      <c r="O38" s="38"/>
      <c r="P38" s="36"/>
      <c r="Q38" s="36"/>
      <c r="R38" s="36"/>
      <c r="S38" s="36">
        <f t="shared" si="29"/>
        <v>150</v>
      </c>
      <c r="T38" s="36"/>
      <c r="U38" s="36"/>
      <c r="V38" s="38">
        <f t="shared" si="3"/>
        <v>150</v>
      </c>
      <c r="W38" s="38">
        <f t="shared" si="17"/>
        <v>0</v>
      </c>
      <c r="X38" s="37">
        <f t="shared" si="26"/>
        <v>74857500</v>
      </c>
      <c r="Y38" s="38">
        <f t="shared" si="30"/>
        <v>0</v>
      </c>
      <c r="Z38" s="219">
        <v>46014</v>
      </c>
      <c r="AA38" s="219">
        <f t="shared" si="32"/>
        <v>46014</v>
      </c>
      <c r="AB38" s="41">
        <f t="shared" si="18"/>
        <v>46044</v>
      </c>
      <c r="AC38" s="39">
        <f t="shared" si="33"/>
        <v>46044</v>
      </c>
      <c r="AD38" s="36" t="s">
        <v>69</v>
      </c>
      <c r="AE38" s="36" t="s">
        <v>162</v>
      </c>
      <c r="AG38" s="206"/>
      <c r="AH38" s="207"/>
      <c r="AI38" s="207"/>
    </row>
    <row r="39" spans="1:35" s="40" customFormat="1" x14ac:dyDescent="0.25">
      <c r="A39" s="34">
        <f t="shared" si="19"/>
        <v>28</v>
      </c>
      <c r="B39" s="34">
        <v>5200991502</v>
      </c>
      <c r="C39" s="35">
        <v>45986</v>
      </c>
      <c r="D39" s="36" t="s">
        <v>114</v>
      </c>
      <c r="E39" s="37">
        <v>150</v>
      </c>
      <c r="F39" s="37"/>
      <c r="G39" s="37">
        <v>4990500</v>
      </c>
      <c r="H39" s="37">
        <f t="shared" si="27"/>
        <v>748575000</v>
      </c>
      <c r="I39" s="37">
        <f t="shared" si="14"/>
        <v>374287500</v>
      </c>
      <c r="J39" s="37">
        <f t="shared" si="24"/>
        <v>499050</v>
      </c>
      <c r="K39" s="38">
        <f t="shared" si="28"/>
        <v>74857500</v>
      </c>
      <c r="L39" s="38"/>
      <c r="M39" s="38">
        <f t="shared" si="25"/>
        <v>74857500</v>
      </c>
      <c r="N39" s="36"/>
      <c r="O39" s="38"/>
      <c r="P39" s="36"/>
      <c r="Q39" s="36"/>
      <c r="R39" s="36"/>
      <c r="S39" s="36">
        <f t="shared" si="29"/>
        <v>150</v>
      </c>
      <c r="T39" s="36"/>
      <c r="U39" s="36"/>
      <c r="V39" s="38">
        <f t="shared" si="3"/>
        <v>150</v>
      </c>
      <c r="W39" s="38">
        <f t="shared" si="17"/>
        <v>0</v>
      </c>
      <c r="X39" s="37">
        <f t="shared" si="26"/>
        <v>74857500</v>
      </c>
      <c r="Y39" s="38">
        <f t="shared" si="30"/>
        <v>0</v>
      </c>
      <c r="Z39" s="219">
        <v>46005</v>
      </c>
      <c r="AA39" s="219">
        <f t="shared" si="32"/>
        <v>46005</v>
      </c>
      <c r="AB39" s="41">
        <f t="shared" si="18"/>
        <v>46035</v>
      </c>
      <c r="AC39" s="39">
        <f t="shared" si="33"/>
        <v>46035</v>
      </c>
      <c r="AD39" s="36" t="s">
        <v>69</v>
      </c>
      <c r="AE39" s="36" t="s">
        <v>162</v>
      </c>
      <c r="AG39" s="206"/>
      <c r="AH39" s="207"/>
      <c r="AI39" s="207"/>
    </row>
    <row r="40" spans="1:35" s="40" customFormat="1" x14ac:dyDescent="0.25">
      <c r="A40" s="34">
        <f t="shared" si="19"/>
        <v>29</v>
      </c>
      <c r="B40" s="34">
        <v>5200991503</v>
      </c>
      <c r="C40" s="35">
        <v>45986</v>
      </c>
      <c r="D40" s="36" t="s">
        <v>114</v>
      </c>
      <c r="E40" s="37">
        <v>150</v>
      </c>
      <c r="F40" s="37"/>
      <c r="G40" s="37">
        <v>4990500</v>
      </c>
      <c r="H40" s="37">
        <f>E40*G40</f>
        <v>748575000</v>
      </c>
      <c r="I40" s="37">
        <f t="shared" si="14"/>
        <v>374287500</v>
      </c>
      <c r="J40" s="37">
        <f t="shared" si="24"/>
        <v>499050</v>
      </c>
      <c r="K40" s="38">
        <f>(I40*20%)+F40</f>
        <v>74857500</v>
      </c>
      <c r="L40" s="38"/>
      <c r="M40" s="38">
        <f t="shared" si="25"/>
        <v>74857500</v>
      </c>
      <c r="N40" s="36"/>
      <c r="O40" s="38"/>
      <c r="P40" s="36"/>
      <c r="Q40" s="36"/>
      <c r="R40" s="36"/>
      <c r="S40" s="36">
        <f t="shared" si="29"/>
        <v>150</v>
      </c>
      <c r="T40" s="36"/>
      <c r="U40" s="36"/>
      <c r="V40" s="38">
        <f t="shared" si="3"/>
        <v>150</v>
      </c>
      <c r="W40" s="38">
        <f t="shared" si="17"/>
        <v>0</v>
      </c>
      <c r="X40" s="37">
        <f t="shared" si="26"/>
        <v>74857500</v>
      </c>
      <c r="Y40" s="38">
        <f>K40+L40-X40</f>
        <v>0</v>
      </c>
      <c r="Z40" s="219">
        <v>46005</v>
      </c>
      <c r="AA40" s="219">
        <f t="shared" si="32"/>
        <v>46005</v>
      </c>
      <c r="AB40" s="41">
        <f t="shared" si="18"/>
        <v>46035</v>
      </c>
      <c r="AC40" s="39">
        <f t="shared" si="33"/>
        <v>46035</v>
      </c>
      <c r="AD40" s="36" t="s">
        <v>69</v>
      </c>
      <c r="AE40" s="36" t="s">
        <v>162</v>
      </c>
      <c r="AG40" s="206"/>
      <c r="AH40" s="207"/>
      <c r="AI40" s="207"/>
    </row>
    <row r="41" spans="1:35" s="40" customFormat="1" x14ac:dyDescent="0.25">
      <c r="A41" s="34">
        <f t="shared" si="19"/>
        <v>30</v>
      </c>
      <c r="B41" s="34">
        <v>5200991553</v>
      </c>
      <c r="C41" s="35">
        <v>46372</v>
      </c>
      <c r="D41" s="36" t="s">
        <v>114</v>
      </c>
      <c r="E41" s="37">
        <v>50</v>
      </c>
      <c r="F41" s="37"/>
      <c r="G41" s="37">
        <v>4990500</v>
      </c>
      <c r="H41" s="37">
        <f>E41*G41</f>
        <v>249525000</v>
      </c>
      <c r="I41" s="37">
        <f t="shared" si="14"/>
        <v>124762500</v>
      </c>
      <c r="J41" s="37">
        <f t="shared" si="24"/>
        <v>499050</v>
      </c>
      <c r="K41" s="38">
        <f>(I41*20%)+F41</f>
        <v>24952500</v>
      </c>
      <c r="L41" s="38"/>
      <c r="M41" s="38">
        <f t="shared" si="25"/>
        <v>24952500</v>
      </c>
      <c r="N41" s="36"/>
      <c r="O41" s="38"/>
      <c r="P41" s="36"/>
      <c r="Q41" s="36"/>
      <c r="R41" s="36"/>
      <c r="S41" s="36">
        <f t="shared" si="29"/>
        <v>50</v>
      </c>
      <c r="T41" s="36"/>
      <c r="U41" s="36"/>
      <c r="V41" s="38">
        <f t="shared" si="3"/>
        <v>50</v>
      </c>
      <c r="W41" s="38">
        <f t="shared" si="17"/>
        <v>0</v>
      </c>
      <c r="X41" s="37">
        <f t="shared" si="26"/>
        <v>24952500</v>
      </c>
      <c r="Y41" s="38">
        <f>K41+L41-X41</f>
        <v>0</v>
      </c>
      <c r="Z41" s="219">
        <v>46020</v>
      </c>
      <c r="AA41" s="219">
        <f t="shared" si="32"/>
        <v>46020</v>
      </c>
      <c r="AB41" s="41">
        <f t="shared" si="18"/>
        <v>46050</v>
      </c>
      <c r="AC41" s="39">
        <f t="shared" si="33"/>
        <v>46050</v>
      </c>
      <c r="AD41" s="36" t="s">
        <v>69</v>
      </c>
      <c r="AE41" s="36" t="s">
        <v>162</v>
      </c>
      <c r="AG41" s="206"/>
      <c r="AH41" s="207"/>
      <c r="AI41" s="207"/>
    </row>
    <row r="42" spans="1:35" ht="14.25" customHeight="1" x14ac:dyDescent="0.25">
      <c r="A42" s="31">
        <f t="shared" si="19"/>
        <v>31</v>
      </c>
      <c r="B42" s="179">
        <v>5200996833</v>
      </c>
      <c r="C42" s="16">
        <v>46021</v>
      </c>
      <c r="D42" s="4" t="s">
        <v>153</v>
      </c>
      <c r="E42" s="78">
        <v>1</v>
      </c>
      <c r="F42" s="78"/>
      <c r="G42" s="78"/>
      <c r="H42" s="78">
        <v>1188000000</v>
      </c>
      <c r="I42" s="78">
        <f t="shared" si="14"/>
        <v>594000000</v>
      </c>
      <c r="J42" s="78">
        <f t="shared" si="24"/>
        <v>118800000</v>
      </c>
      <c r="K42" s="7">
        <f>(I42*20%)+F42</f>
        <v>118800000</v>
      </c>
      <c r="L42" s="7"/>
      <c r="M42" s="7">
        <f t="shared" si="25"/>
        <v>118800000</v>
      </c>
      <c r="N42" s="4"/>
      <c r="O42" s="7"/>
      <c r="P42" s="4"/>
      <c r="Q42" s="4"/>
      <c r="R42" s="4"/>
      <c r="S42" s="4"/>
      <c r="T42" s="4"/>
      <c r="U42" s="4"/>
      <c r="V42" s="7"/>
      <c r="W42" s="7"/>
      <c r="X42" s="78"/>
      <c r="Y42" s="7">
        <f t="shared" ref="Y42:Y43" si="34">K42+L42-X42</f>
        <v>118800000</v>
      </c>
      <c r="Z42" s="16">
        <f t="shared" si="31"/>
        <v>46042</v>
      </c>
      <c r="AA42" s="221">
        <f t="shared" ref="AA42" si="35">Z42+7</f>
        <v>46049</v>
      </c>
      <c r="AB42" s="185">
        <f t="shared" si="18"/>
        <v>46079</v>
      </c>
      <c r="AC42" s="27">
        <f>AA42+30</f>
        <v>46079</v>
      </c>
      <c r="AD42" s="4" t="s">
        <v>65</v>
      </c>
      <c r="AE42" s="4"/>
      <c r="AG42" s="82"/>
      <c r="AH42" s="2"/>
      <c r="AI42" s="2"/>
    </row>
    <row r="43" spans="1:35" ht="14.25" customHeight="1" x14ac:dyDescent="0.25">
      <c r="A43" s="31">
        <f t="shared" si="19"/>
        <v>32</v>
      </c>
      <c r="B43" s="179" t="s">
        <v>154</v>
      </c>
      <c r="C43" s="16">
        <v>46021</v>
      </c>
      <c r="D43" s="4" t="s">
        <v>156</v>
      </c>
      <c r="E43" s="78">
        <v>400</v>
      </c>
      <c r="F43" s="78"/>
      <c r="G43" s="78">
        <v>548000</v>
      </c>
      <c r="H43" s="78">
        <f>E43*G43</f>
        <v>219200000</v>
      </c>
      <c r="I43" s="78">
        <f t="shared" ref="I43" si="36">H43*50%</f>
        <v>109600000</v>
      </c>
      <c r="J43" s="78">
        <f t="shared" ref="J43" si="37">(I43*20%)/E43</f>
        <v>54800</v>
      </c>
      <c r="K43" s="7">
        <f>I43*20%</f>
        <v>21920000</v>
      </c>
      <c r="L43" s="7"/>
      <c r="M43" s="7">
        <f t="shared" ref="M43" si="38">SUM(K43:L43)</f>
        <v>21920000</v>
      </c>
      <c r="N43" s="4"/>
      <c r="O43" s="7"/>
      <c r="P43" s="4"/>
      <c r="Q43" s="4"/>
      <c r="R43" s="4"/>
      <c r="S43" s="4"/>
      <c r="T43" s="4"/>
      <c r="U43" s="4"/>
      <c r="V43" s="7"/>
      <c r="W43" s="7"/>
      <c r="X43" s="78"/>
      <c r="Y43" s="7">
        <f t="shared" si="34"/>
        <v>21920000</v>
      </c>
      <c r="Z43" s="16">
        <f t="shared" ref="Z43" si="39">C43+21</f>
        <v>46042</v>
      </c>
      <c r="AA43" s="221">
        <f t="shared" ref="AA43" si="40">Z43+7</f>
        <v>46049</v>
      </c>
      <c r="AB43" s="185">
        <f t="shared" ref="AB43" si="41">AA43+30</f>
        <v>46079</v>
      </c>
      <c r="AC43" s="27">
        <f>AA43+30</f>
        <v>46079</v>
      </c>
      <c r="AD43" s="4" t="s">
        <v>65</v>
      </c>
      <c r="AE43" s="4"/>
      <c r="AG43" s="82"/>
      <c r="AH43" s="2"/>
      <c r="AI43" s="2"/>
    </row>
    <row r="44" spans="1:35" ht="15.75" thickBot="1" x14ac:dyDescent="0.3">
      <c r="A44" s="29"/>
      <c r="C44" s="15"/>
      <c r="D44" s="15"/>
      <c r="E44" s="79"/>
      <c r="F44" s="79"/>
      <c r="G44" s="79"/>
      <c r="H44" s="79"/>
      <c r="I44" s="79"/>
      <c r="J44" s="79"/>
      <c r="K44" s="2"/>
      <c r="L44" s="2"/>
      <c r="M44" s="2"/>
      <c r="O44" s="2"/>
      <c r="V44" s="2"/>
      <c r="W44" s="2"/>
      <c r="X44" s="79"/>
      <c r="Y44" s="2"/>
      <c r="Z44" s="2"/>
    </row>
    <row r="45" spans="1:35" ht="15.75" thickBot="1" x14ac:dyDescent="0.3">
      <c r="B45" s="32" t="s">
        <v>51</v>
      </c>
      <c r="C45" s="18"/>
      <c r="D45" s="18"/>
      <c r="E45" s="18"/>
      <c r="F45" s="18"/>
      <c r="G45" s="18"/>
      <c r="H45" s="19">
        <f>SUM(H12:H43)</f>
        <v>26489147200</v>
      </c>
      <c r="I45" s="19">
        <f>SUM(I12:I43)</f>
        <v>13244573600</v>
      </c>
      <c r="J45" s="18"/>
      <c r="K45" s="19">
        <f>SUM(K12:K43)</f>
        <v>2658394470</v>
      </c>
      <c r="L45" s="19">
        <f>SUM(L12:L43)</f>
        <v>132522000</v>
      </c>
      <c r="M45" s="19">
        <f>SUM(M12:M43)</f>
        <v>2790916470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9">
        <f>SUM(X12:X43)</f>
        <v>2457646470</v>
      </c>
      <c r="Y45" s="19">
        <f>SUM(Y12:Y43)</f>
        <v>333270000</v>
      </c>
      <c r="Z45" s="24"/>
    </row>
    <row r="46" spans="1:35" x14ac:dyDescent="0.25">
      <c r="E46" s="9"/>
      <c r="F46" s="9"/>
      <c r="G46" s="9"/>
      <c r="H46" s="9"/>
      <c r="I46" s="9"/>
      <c r="J46" s="9"/>
      <c r="K46" s="9"/>
      <c r="L46" s="9"/>
      <c r="M46" s="9"/>
      <c r="Y46" s="2">
        <f>X45+Y45-H65</f>
        <v>2790916470</v>
      </c>
    </row>
    <row r="47" spans="1:35" x14ac:dyDescent="0.25">
      <c r="E47" s="9" t="s">
        <v>36</v>
      </c>
      <c r="F47" s="9"/>
      <c r="G47" s="9" t="s">
        <v>37</v>
      </c>
      <c r="H47" s="9" t="s">
        <v>38</v>
      </c>
      <c r="I47" s="9" t="s">
        <v>39</v>
      </c>
      <c r="J47" s="9" t="s">
        <v>40</v>
      </c>
      <c r="K47" s="9" t="s">
        <v>41</v>
      </c>
      <c r="L47" s="9"/>
      <c r="M47" s="9"/>
    </row>
    <row r="48" spans="1:35" ht="30" x14ac:dyDescent="0.25">
      <c r="E48" s="10" t="s">
        <v>32</v>
      </c>
      <c r="F48" s="11" t="s">
        <v>46</v>
      </c>
      <c r="G48" s="10" t="s">
        <v>8</v>
      </c>
      <c r="H48" s="11" t="s">
        <v>71</v>
      </c>
      <c r="I48" s="12" t="s">
        <v>42</v>
      </c>
      <c r="J48" s="12" t="s">
        <v>133</v>
      </c>
      <c r="K48" s="13" t="s">
        <v>30</v>
      </c>
      <c r="L48" s="33"/>
      <c r="M48" s="33"/>
    </row>
    <row r="49" spans="3:25" x14ac:dyDescent="0.25">
      <c r="E49" s="5">
        <v>45839</v>
      </c>
      <c r="F49" s="7">
        <f>SUM(I12:I14)</f>
        <v>900000000</v>
      </c>
      <c r="G49" s="7">
        <f>SUM(X12:X14)</f>
        <v>180000000</v>
      </c>
      <c r="H49" s="6"/>
      <c r="I49" s="6"/>
      <c r="J49" s="6"/>
      <c r="K49" s="7">
        <f>F49+G49</f>
        <v>1080000000</v>
      </c>
      <c r="L49" s="2"/>
      <c r="M49" s="2"/>
      <c r="Y49" s="2">
        <f>SUM(I26:I29,AH26:AH29)</f>
        <v>1224522000</v>
      </c>
    </row>
    <row r="50" spans="3:25" x14ac:dyDescent="0.25">
      <c r="E50" s="5">
        <v>45870</v>
      </c>
      <c r="F50" s="7">
        <f>SUM(I15:I18)</f>
        <v>1125000000</v>
      </c>
      <c r="G50" s="7">
        <f>SUM(X15:X18)</f>
        <v>225000000</v>
      </c>
      <c r="H50" s="7"/>
      <c r="I50" s="7">
        <f>SUM(I19:I22)</f>
        <v>1606174500</v>
      </c>
      <c r="J50" s="7"/>
      <c r="K50" s="7">
        <f>K49+F50+G50+H50-I50-J50</f>
        <v>823825500</v>
      </c>
      <c r="L50" s="2"/>
      <c r="M50" s="2"/>
    </row>
    <row r="51" spans="3:25" x14ac:dyDescent="0.25">
      <c r="E51" s="5">
        <v>45901</v>
      </c>
      <c r="F51" s="7">
        <v>1426698600</v>
      </c>
      <c r="G51" s="7"/>
      <c r="H51" s="7"/>
      <c r="I51" s="7">
        <f>SUM(I23:I27)</f>
        <v>2250524100</v>
      </c>
      <c r="J51" s="7"/>
      <c r="K51" s="7">
        <f>K50+F51+G51+H51-I51</f>
        <v>0</v>
      </c>
      <c r="L51" s="2"/>
      <c r="M51" s="2"/>
    </row>
    <row r="52" spans="3:25" x14ac:dyDescent="0.25">
      <c r="E52" s="5">
        <v>45931</v>
      </c>
      <c r="F52" s="7"/>
      <c r="G52" s="7"/>
      <c r="H52" s="7"/>
      <c r="I52" s="7">
        <f>I29+I28</f>
        <v>342500000</v>
      </c>
      <c r="J52" s="7"/>
      <c r="K52" s="7">
        <f>K51+F52+G52+H52-I52</f>
        <v>-342500000</v>
      </c>
      <c r="L52" s="2"/>
      <c r="M52" s="2"/>
    </row>
    <row r="53" spans="3:25" x14ac:dyDescent="0.25">
      <c r="E53" s="5">
        <v>45962</v>
      </c>
      <c r="F53" s="7"/>
      <c r="G53" s="7">
        <f>SUM(M19:M28)</f>
        <v>830880470</v>
      </c>
      <c r="H53" s="7"/>
      <c r="I53" s="7">
        <f>-SUM(I19:I28)+SUM(I30:I40)</f>
        <v>2335313900</v>
      </c>
      <c r="J53" s="7">
        <v>1105000000</v>
      </c>
      <c r="K53" s="7">
        <f>K52+F53+G53+H53-I53-J53</f>
        <v>-2951933430</v>
      </c>
      <c r="L53" s="2"/>
      <c r="M53" s="2"/>
    </row>
    <row r="54" spans="3:25" x14ac:dyDescent="0.25">
      <c r="E54" s="27">
        <v>46007</v>
      </c>
      <c r="F54" s="7">
        <v>1300000000</v>
      </c>
      <c r="G54" s="7"/>
      <c r="H54" s="7"/>
      <c r="I54" s="7">
        <f>I41+I42+I43</f>
        <v>828362500</v>
      </c>
      <c r="J54" s="7"/>
      <c r="K54" s="7">
        <f>K53+F54+G54+H54-I54-J54</f>
        <v>-2480295930</v>
      </c>
      <c r="L54" s="2"/>
      <c r="M54" s="2"/>
      <c r="P54" s="1"/>
    </row>
    <row r="55" spans="3:25" x14ac:dyDescent="0.25">
      <c r="E55" s="27">
        <v>46014</v>
      </c>
      <c r="F55" s="7">
        <v>250000000</v>
      </c>
      <c r="G55" s="7"/>
      <c r="H55" s="7"/>
      <c r="I55" s="7"/>
      <c r="J55" s="7"/>
      <c r="K55" s="7">
        <f t="shared" ref="K55:K61" si="42">K54+F55+G55+H55-I55-J55</f>
        <v>-2230295930</v>
      </c>
      <c r="L55" s="2"/>
      <c r="M55" s="2"/>
      <c r="P55" s="1"/>
    </row>
    <row r="56" spans="3:25" x14ac:dyDescent="0.25">
      <c r="E56" s="27">
        <v>46015</v>
      </c>
      <c r="F56" s="7">
        <v>250000000</v>
      </c>
      <c r="G56" s="7"/>
      <c r="H56" s="7"/>
      <c r="I56" s="7"/>
      <c r="J56" s="7"/>
      <c r="K56" s="7">
        <f t="shared" si="42"/>
        <v>-1980295930</v>
      </c>
      <c r="L56" s="2"/>
      <c r="M56" s="2"/>
      <c r="P56" s="1"/>
    </row>
    <row r="57" spans="3:25" x14ac:dyDescent="0.25">
      <c r="E57" s="27">
        <v>46016</v>
      </c>
      <c r="F57" s="7">
        <v>250000000</v>
      </c>
      <c r="G57" s="7"/>
      <c r="H57" s="7"/>
      <c r="I57" s="7"/>
      <c r="J57" s="7"/>
      <c r="K57" s="7">
        <f t="shared" si="42"/>
        <v>-1730295930</v>
      </c>
      <c r="L57" s="2"/>
      <c r="M57" s="2"/>
      <c r="P57" s="1"/>
    </row>
    <row r="58" spans="3:25" x14ac:dyDescent="0.25">
      <c r="E58" s="27">
        <v>46017</v>
      </c>
      <c r="F58" s="7">
        <v>250000000</v>
      </c>
      <c r="G58" s="7"/>
      <c r="H58" s="7"/>
      <c r="I58" s="7"/>
      <c r="J58" s="7"/>
      <c r="K58" s="7">
        <f t="shared" si="42"/>
        <v>-1480295930</v>
      </c>
      <c r="L58" s="2"/>
      <c r="M58" s="2"/>
      <c r="P58" s="1"/>
    </row>
    <row r="59" spans="3:25" x14ac:dyDescent="0.25">
      <c r="E59" s="27">
        <v>46018</v>
      </c>
      <c r="F59" s="7">
        <v>250000000</v>
      </c>
      <c r="G59" s="7"/>
      <c r="H59" s="7"/>
      <c r="I59" s="7"/>
      <c r="J59" s="7"/>
      <c r="K59" s="7">
        <f t="shared" si="42"/>
        <v>-1230295930</v>
      </c>
      <c r="L59" s="2"/>
      <c r="M59" s="2"/>
      <c r="P59" s="1"/>
    </row>
    <row r="60" spans="3:25" x14ac:dyDescent="0.25">
      <c r="E60" s="27">
        <v>46019</v>
      </c>
      <c r="F60" s="7">
        <v>250000000</v>
      </c>
      <c r="G60" s="7"/>
      <c r="H60" s="7"/>
      <c r="I60" s="7"/>
      <c r="J60" s="7"/>
      <c r="K60" s="7">
        <f t="shared" si="42"/>
        <v>-980295930</v>
      </c>
      <c r="L60" s="2"/>
      <c r="M60" s="2"/>
      <c r="P60" s="1"/>
    </row>
    <row r="61" spans="3:25" x14ac:dyDescent="0.25">
      <c r="E61" s="27">
        <v>46020</v>
      </c>
      <c r="F61" s="7">
        <v>150000000</v>
      </c>
      <c r="G61" s="7"/>
      <c r="H61" s="7"/>
      <c r="I61" s="7"/>
      <c r="J61" s="7"/>
      <c r="K61" s="7">
        <f t="shared" si="42"/>
        <v>-830295930</v>
      </c>
      <c r="L61" s="2"/>
      <c r="M61" s="2"/>
      <c r="P61" s="1"/>
    </row>
    <row r="62" spans="3:25" x14ac:dyDescent="0.25">
      <c r="E62" s="4"/>
      <c r="F62" s="8">
        <f>SUM(F49:F61)</f>
        <v>6401698600</v>
      </c>
      <c r="G62" s="8">
        <f>SUM(G49:G54)</f>
        <v>1235880470</v>
      </c>
      <c r="H62" s="8">
        <f t="shared" ref="H62:J62" si="43">SUM(H49:H54)</f>
        <v>0</v>
      </c>
      <c r="I62" s="8">
        <f t="shared" si="43"/>
        <v>7362875000</v>
      </c>
      <c r="J62" s="8">
        <f t="shared" si="43"/>
        <v>1105000000</v>
      </c>
      <c r="K62" s="8">
        <f>F62+G62+H62-I62-J62</f>
        <v>-830295930</v>
      </c>
      <c r="L62" s="24"/>
      <c r="M62" s="24"/>
      <c r="P62" s="2"/>
    </row>
    <row r="63" spans="3:25" x14ac:dyDescent="0.25">
      <c r="C63" s="2"/>
      <c r="D63" s="2"/>
      <c r="E63" s="2"/>
      <c r="F63" s="2"/>
      <c r="G63" s="2"/>
      <c r="H63" s="2"/>
    </row>
    <row r="64" spans="3:25" x14ac:dyDescent="0.25">
      <c r="E64" s="167" t="s">
        <v>47</v>
      </c>
      <c r="F64" s="168">
        <f>F62</f>
        <v>6401698600</v>
      </c>
      <c r="G64" s="167"/>
      <c r="H64" s="189"/>
      <c r="I64" s="203" t="s">
        <v>148</v>
      </c>
      <c r="J64" s="190"/>
      <c r="K64" s="2"/>
    </row>
    <row r="65" spans="2:23" x14ac:dyDescent="0.25">
      <c r="E65" s="167" t="s">
        <v>8</v>
      </c>
      <c r="F65" s="168">
        <f>SUM(M12:M27)</f>
        <v>1235880470</v>
      </c>
      <c r="G65" s="167"/>
      <c r="H65" s="189"/>
      <c r="I65" s="190" t="s">
        <v>149</v>
      </c>
      <c r="J65" s="191">
        <f>F62</f>
        <v>6401698600</v>
      </c>
      <c r="K65" s="191"/>
      <c r="L65" s="2"/>
    </row>
    <row r="66" spans="2:23" x14ac:dyDescent="0.25">
      <c r="E66" s="167" t="s">
        <v>144</v>
      </c>
      <c r="F66" s="168">
        <f>-I62</f>
        <v>-7362875000</v>
      </c>
      <c r="G66" s="167" t="s">
        <v>146</v>
      </c>
      <c r="H66" s="189"/>
      <c r="I66" s="190" t="s">
        <v>8</v>
      </c>
      <c r="J66" s="192">
        <f>G62</f>
        <v>1235880470</v>
      </c>
      <c r="K66" s="19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2:23" x14ac:dyDescent="0.25">
      <c r="E67" s="167" t="s">
        <v>133</v>
      </c>
      <c r="F67" s="168">
        <f>-J53</f>
        <v>-1105000000</v>
      </c>
      <c r="G67" s="167"/>
      <c r="H67" s="189"/>
      <c r="I67" s="190" t="s">
        <v>35</v>
      </c>
      <c r="J67" s="204">
        <f>-J53</f>
        <v>-1105000000</v>
      </c>
      <c r="K67" s="19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2:23" ht="15.75" thickBot="1" x14ac:dyDescent="0.3">
      <c r="E68" s="200" t="s">
        <v>145</v>
      </c>
      <c r="F68" s="201">
        <f>F64+F65+F66+F67</f>
        <v>-830295930</v>
      </c>
      <c r="G68" s="167"/>
      <c r="H68" s="189"/>
      <c r="I68" s="190" t="s">
        <v>48</v>
      </c>
      <c r="J68" s="204">
        <f>-I62</f>
        <v>-7362875000</v>
      </c>
      <c r="K68" s="191"/>
      <c r="V68" s="2"/>
    </row>
    <row r="69" spans="2:23" ht="16.5" thickTop="1" thickBot="1" x14ac:dyDescent="0.3">
      <c r="C69" s="1"/>
      <c r="E69" s="202"/>
      <c r="F69" s="202"/>
      <c r="G69" s="202"/>
      <c r="H69" s="190"/>
      <c r="I69" s="205" t="s">
        <v>151</v>
      </c>
      <c r="J69" s="204">
        <f>J65+J66+J67+J68</f>
        <v>-830295930</v>
      </c>
      <c r="K69" s="189"/>
      <c r="V69" s="24"/>
    </row>
    <row r="70" spans="2:23" ht="15.75" thickTop="1" x14ac:dyDescent="0.25">
      <c r="C70" s="1"/>
      <c r="E70" s="167" t="s">
        <v>147</v>
      </c>
      <c r="F70" s="168">
        <f>SUM(I29:I40,M29:M40)</f>
        <v>7923876000</v>
      </c>
      <c r="G70" s="167" t="s">
        <v>146</v>
      </c>
      <c r="K70" s="2"/>
      <c r="V70" s="2"/>
    </row>
    <row r="71" spans="2:23" x14ac:dyDescent="0.25">
      <c r="B71" s="28"/>
      <c r="C71" s="48"/>
      <c r="E71" s="80"/>
      <c r="F71" s="2"/>
      <c r="H71" s="24"/>
      <c r="I71" s="44" t="s">
        <v>157</v>
      </c>
      <c r="J71" s="14" t="s">
        <v>155</v>
      </c>
      <c r="K71" s="1" t="s">
        <v>165</v>
      </c>
      <c r="V71" s="2"/>
    </row>
    <row r="72" spans="2:23" x14ac:dyDescent="0.25">
      <c r="C72" s="1"/>
      <c r="I72" s="222">
        <v>46023</v>
      </c>
      <c r="J72" s="7">
        <f>SUM(X29:X32,X35:X41)</f>
        <v>1105716000</v>
      </c>
      <c r="K72" s="24"/>
      <c r="V72" s="24"/>
      <c r="W72" s="2"/>
    </row>
    <row r="73" spans="2:23" x14ac:dyDescent="0.25">
      <c r="B73" s="28"/>
      <c r="C73" s="24"/>
      <c r="F73" s="1">
        <v>130000000</v>
      </c>
      <c r="I73" s="222">
        <v>46054</v>
      </c>
      <c r="J73" s="7">
        <f>SUM(X33)</f>
        <v>116050000</v>
      </c>
    </row>
    <row r="74" spans="2:23" x14ac:dyDescent="0.25">
      <c r="I74" s="44" t="s">
        <v>157</v>
      </c>
      <c r="J74" s="8">
        <f>SUM(J72:J73)</f>
        <v>1221766000</v>
      </c>
    </row>
    <row r="75" spans="2:23" x14ac:dyDescent="0.25">
      <c r="C75" s="2"/>
      <c r="I75" s="222"/>
      <c r="J75" s="7"/>
    </row>
    <row r="76" spans="2:23" x14ac:dyDescent="0.25">
      <c r="I76" s="222" t="s">
        <v>163</v>
      </c>
      <c r="J76" s="223">
        <f>Y45</f>
        <v>333270000</v>
      </c>
    </row>
    <row r="77" spans="2:23" x14ac:dyDescent="0.25">
      <c r="I77" s="14" t="s">
        <v>164</v>
      </c>
      <c r="J77" s="8">
        <f>J74+J76</f>
        <v>1555036000</v>
      </c>
    </row>
  </sheetData>
  <autoFilter ref="A10:AE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F10:F11"/>
    <mergeCell ref="A10:A11"/>
    <mergeCell ref="B10:B11"/>
    <mergeCell ref="C10:C11"/>
    <mergeCell ref="D10:D11"/>
    <mergeCell ref="E10:E11"/>
    <mergeCell ref="Y10:Y11"/>
    <mergeCell ref="G10:G11"/>
    <mergeCell ref="H10:H11"/>
    <mergeCell ref="I10:I11"/>
    <mergeCell ref="J10:J11"/>
    <mergeCell ref="K10:K11"/>
    <mergeCell ref="L10:L11"/>
    <mergeCell ref="M10:M11"/>
    <mergeCell ref="V10:V11"/>
    <mergeCell ref="W10:W11"/>
    <mergeCell ref="X10:X11"/>
    <mergeCell ref="N10:T10"/>
    <mergeCell ref="AG10:AG11"/>
    <mergeCell ref="AH10:AH11"/>
    <mergeCell ref="AI10:AI11"/>
    <mergeCell ref="Z10:Z11"/>
    <mergeCell ref="AA10:AA11"/>
    <mergeCell ref="AB10:AB11"/>
    <mergeCell ref="AC10:AC11"/>
    <mergeCell ref="AD10:AD11"/>
    <mergeCell ref="AE10:AE11"/>
  </mergeCells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A05C-6E9B-4880-A074-D1AA78CF0898}">
  <sheetPr>
    <tabColor rgb="FF00B0F0"/>
  </sheetPr>
  <dimension ref="A1:AI66"/>
  <sheetViews>
    <sheetView showGridLines="0" zoomScale="85" zoomScaleNormal="85" workbookViewId="0">
      <pane xSplit="5" ySplit="11" topLeftCell="F46" activePane="bottomRight" state="frozen"/>
      <selection activeCell="N13" sqref="N13"/>
      <selection pane="topRight" activeCell="N13" sqref="N13"/>
      <selection pane="bottomLeft" activeCell="N13" sqref="N13"/>
      <selection pane="bottomRight" activeCell="F52" sqref="F52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20.71093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16.28515625" customWidth="1"/>
    <col min="10" max="10" width="15.2851562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hidden="1" customWidth="1"/>
    <col min="34" max="34" width="11.5703125" hidden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27" t="s">
        <v>23</v>
      </c>
      <c r="O10" s="327"/>
      <c r="P10" s="327"/>
      <c r="Q10" s="327"/>
      <c r="R10" s="327"/>
      <c r="S10" s="327"/>
      <c r="T10" s="25"/>
      <c r="U10" s="328" t="s">
        <v>52</v>
      </c>
      <c r="V10" s="328" t="s">
        <v>34</v>
      </c>
      <c r="W10" s="331" t="s">
        <v>8</v>
      </c>
      <c r="X10" s="328" t="s">
        <v>31</v>
      </c>
      <c r="Y10" s="333" t="s">
        <v>54</v>
      </c>
      <c r="Z10" s="331" t="s">
        <v>53</v>
      </c>
      <c r="AA10" s="333" t="s">
        <v>80</v>
      </c>
      <c r="AB10" s="333" t="s">
        <v>82</v>
      </c>
      <c r="AC10" s="325" t="s">
        <v>62</v>
      </c>
      <c r="AD10" s="325" t="s">
        <v>66</v>
      </c>
      <c r="AF10" s="320" t="s">
        <v>109</v>
      </c>
      <c r="AG10" s="335" t="s">
        <v>127</v>
      </c>
      <c r="AH10" s="320" t="s">
        <v>110</v>
      </c>
    </row>
    <row r="11" spans="1:34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29"/>
      <c r="V11" s="330"/>
      <c r="W11" s="332"/>
      <c r="X11" s="330"/>
      <c r="Y11" s="334"/>
      <c r="Z11" s="332"/>
      <c r="AA11" s="334"/>
      <c r="AB11" s="334"/>
      <c r="AC11" s="325"/>
      <c r="AD11" s="325" t="s">
        <v>66</v>
      </c>
      <c r="AF11" s="320"/>
      <c r="AG11" s="335"/>
      <c r="AH11" s="320"/>
    </row>
    <row r="12" spans="1:34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 (2)'!$B12,Detail!$E$4:$E$21)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 (2)'!B12,Detail!$H$4:$H$21)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6">
        <f t="shared" ref="U12:U41" si="3">SUM(N12:S12)</f>
        <v>2</v>
      </c>
      <c r="V12" s="56">
        <f t="shared" ref="V12:V27" si="4">E12-U12</f>
        <v>0</v>
      </c>
      <c r="W12" s="55">
        <f t="shared" ref="W12:W26" si="5">J12*U12</f>
        <v>45000000</v>
      </c>
      <c r="X12" s="56">
        <f t="shared" ref="X12:X26" si="6">K12-W12</f>
        <v>0</v>
      </c>
      <c r="Y12" s="58">
        <v>45861</v>
      </c>
      <c r="Z12" s="58">
        <v>45863</v>
      </c>
      <c r="AA12" s="58">
        <v>45894</v>
      </c>
      <c r="AB12" s="58"/>
      <c r="AC12" s="53" t="s">
        <v>63</v>
      </c>
      <c r="AD12" s="53"/>
      <c r="AF12" s="183">
        <f>VLOOKUP(B12,investasi!$B$5:$G$18,6,0)</f>
        <v>45000000</v>
      </c>
      <c r="AG12" s="184">
        <f>M12</f>
        <v>45000000</v>
      </c>
      <c r="AH12" s="184">
        <f>AF12-AG12</f>
        <v>0</v>
      </c>
    </row>
    <row r="13" spans="1:34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 (2)'!$B13,Detail!$E$4:$E$21)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 (2)'!B13,Detail!$H$4:$H$21)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6">
        <f t="shared" si="3"/>
        <v>3</v>
      </c>
      <c r="V13" s="56">
        <f t="shared" si="4"/>
        <v>0</v>
      </c>
      <c r="W13" s="55">
        <f t="shared" si="5"/>
        <v>67500000</v>
      </c>
      <c r="X13" s="56">
        <f t="shared" si="6"/>
        <v>0</v>
      </c>
      <c r="Y13" s="58">
        <v>45861</v>
      </c>
      <c r="Z13" s="58">
        <v>45863</v>
      </c>
      <c r="AA13" s="58">
        <v>45894</v>
      </c>
      <c r="AB13" s="58"/>
      <c r="AC13" s="53" t="s">
        <v>63</v>
      </c>
      <c r="AD13" s="53"/>
      <c r="AF13" s="183">
        <f>VLOOKUP(B13,investasi!$B$5:$G$18,6,0)</f>
        <v>67500000</v>
      </c>
      <c r="AG13" s="184">
        <f t="shared" ref="AG13:AG29" si="8">M13</f>
        <v>67500000</v>
      </c>
      <c r="AH13" s="184">
        <f t="shared" ref="AH13:AH29" si="9">AF13-AG13</f>
        <v>0</v>
      </c>
    </row>
    <row r="14" spans="1:34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 (2)'!$B14,Detail!$E$4:$E$21)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 (2)'!B14,Detail!$H$4:$H$21)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6">
        <f t="shared" si="3"/>
        <v>3</v>
      </c>
      <c r="V14" s="56">
        <f t="shared" si="4"/>
        <v>0</v>
      </c>
      <c r="W14" s="55">
        <f t="shared" si="5"/>
        <v>67500000</v>
      </c>
      <c r="X14" s="56">
        <f t="shared" si="6"/>
        <v>0</v>
      </c>
      <c r="Y14" s="58">
        <v>45861</v>
      </c>
      <c r="Z14" s="58">
        <v>45863</v>
      </c>
      <c r="AA14" s="58">
        <v>45894</v>
      </c>
      <c r="AB14" s="58"/>
      <c r="AC14" s="53" t="s">
        <v>63</v>
      </c>
      <c r="AD14" s="53"/>
      <c r="AF14" s="183">
        <f>VLOOKUP(B14,investasi!$B$5:$G$18,6,0)</f>
        <v>67500000</v>
      </c>
      <c r="AG14" s="184">
        <f t="shared" si="8"/>
        <v>67500000</v>
      </c>
      <c r="AH14" s="184">
        <f t="shared" si="9"/>
        <v>0</v>
      </c>
    </row>
    <row r="15" spans="1:34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 (2)'!$B15,Detail!$E$4:$E$21)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 (2)'!B15,Detail!$H$4:$H$21)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6">
        <f t="shared" si="3"/>
        <v>3</v>
      </c>
      <c r="V15" s="56">
        <f t="shared" si="4"/>
        <v>0</v>
      </c>
      <c r="W15" s="55">
        <f t="shared" si="5"/>
        <v>67500000</v>
      </c>
      <c r="X15" s="56">
        <f t="shared" si="6"/>
        <v>0</v>
      </c>
      <c r="Y15" s="58">
        <v>45868</v>
      </c>
      <c r="Z15" s="58">
        <v>45873</v>
      </c>
      <c r="AA15" s="58">
        <v>45904</v>
      </c>
      <c r="AB15" s="58"/>
      <c r="AC15" s="53" t="s">
        <v>63</v>
      </c>
      <c r="AD15" s="53"/>
      <c r="AF15" s="183">
        <f>VLOOKUP(B15,investasi!$B$5:$G$18,6,0)</f>
        <v>67500000</v>
      </c>
      <c r="AG15" s="184">
        <f t="shared" si="8"/>
        <v>67500000</v>
      </c>
      <c r="AH15" s="184">
        <f t="shared" si="9"/>
        <v>0</v>
      </c>
    </row>
    <row r="16" spans="1:34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 (2)'!$B16,Detail!$E$4:$E$21)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 (2)'!B16,Detail!$H$4:$H$21)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6">
        <f t="shared" si="3"/>
        <v>3</v>
      </c>
      <c r="V16" s="56">
        <f t="shared" si="4"/>
        <v>0</v>
      </c>
      <c r="W16" s="55">
        <f t="shared" si="5"/>
        <v>67500000</v>
      </c>
      <c r="X16" s="56">
        <f t="shared" si="6"/>
        <v>0</v>
      </c>
      <c r="Y16" s="58">
        <v>45868</v>
      </c>
      <c r="Z16" s="58">
        <v>45873</v>
      </c>
      <c r="AA16" s="58">
        <v>45904</v>
      </c>
      <c r="AB16" s="58"/>
      <c r="AC16" s="53" t="s">
        <v>63</v>
      </c>
      <c r="AD16" s="53"/>
      <c r="AF16" s="183">
        <f>VLOOKUP(B16,investasi!$B$5:$G$18,6,0)</f>
        <v>67500000</v>
      </c>
      <c r="AG16" s="184">
        <f t="shared" si="8"/>
        <v>67500000</v>
      </c>
      <c r="AH16" s="184">
        <f t="shared" si="9"/>
        <v>0</v>
      </c>
    </row>
    <row r="17" spans="1:35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 (2)'!$B17,Detail!$E$4:$E$21)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 (2)'!B17,Detail!$H$4:$H$21)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6">
        <f t="shared" si="3"/>
        <v>2</v>
      </c>
      <c r="V17" s="56">
        <f t="shared" si="4"/>
        <v>0</v>
      </c>
      <c r="W17" s="55">
        <f t="shared" si="5"/>
        <v>45000000</v>
      </c>
      <c r="X17" s="56">
        <f t="shared" si="6"/>
        <v>0</v>
      </c>
      <c r="Y17" s="58">
        <v>45868</v>
      </c>
      <c r="Z17" s="58">
        <v>45873</v>
      </c>
      <c r="AA17" s="58">
        <v>45904</v>
      </c>
      <c r="AB17" s="58"/>
      <c r="AC17" s="53" t="s">
        <v>63</v>
      </c>
      <c r="AD17" s="53"/>
      <c r="AF17" s="183">
        <f>VLOOKUP(B17,investasi!$B$5:$G$18,6,0)</f>
        <v>45000000</v>
      </c>
      <c r="AG17" s="184">
        <f t="shared" si="8"/>
        <v>45000000</v>
      </c>
      <c r="AH17" s="184">
        <f t="shared" si="9"/>
        <v>0</v>
      </c>
    </row>
    <row r="18" spans="1:35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 (2)'!$B18,Detail!$E$4:$E$21)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 (2)'!B18,Detail!$H$4:$H$21)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6">
        <f t="shared" si="3"/>
        <v>2</v>
      </c>
      <c r="V18" s="56">
        <f t="shared" si="4"/>
        <v>0</v>
      </c>
      <c r="W18" s="55">
        <f t="shared" si="5"/>
        <v>45000000</v>
      </c>
      <c r="X18" s="56">
        <f t="shared" si="6"/>
        <v>0</v>
      </c>
      <c r="Y18" s="58">
        <v>45868</v>
      </c>
      <c r="Z18" s="58">
        <v>45873</v>
      </c>
      <c r="AA18" s="58">
        <v>45904</v>
      </c>
      <c r="AB18" s="58"/>
      <c r="AC18" s="53" t="s">
        <v>63</v>
      </c>
      <c r="AD18" s="53"/>
      <c r="AF18" s="183">
        <f>VLOOKUP(B18,investasi!$B$5:$G$18,6,0)</f>
        <v>45000000</v>
      </c>
      <c r="AG18" s="184">
        <f t="shared" si="8"/>
        <v>45000000</v>
      </c>
      <c r="AH18" s="184">
        <f t="shared" si="9"/>
        <v>0</v>
      </c>
    </row>
    <row r="19" spans="1:35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 (2)'!$B19,Detail!$E$4:$E$25)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 (2)'!B19,Detail!$H$4:$H$25)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6">
        <f t="shared" si="3"/>
        <v>1</v>
      </c>
      <c r="V19" s="56">
        <f t="shared" si="4"/>
        <v>0</v>
      </c>
      <c r="W19" s="55">
        <f t="shared" si="5"/>
        <v>114919900</v>
      </c>
      <c r="X19" s="56">
        <f t="shared" si="6"/>
        <v>0</v>
      </c>
      <c r="Y19" s="58">
        <v>45930</v>
      </c>
      <c r="Z19" s="58">
        <f>Y19+7</f>
        <v>45937</v>
      </c>
      <c r="AA19" s="58">
        <f>Z19+30</f>
        <v>45967</v>
      </c>
      <c r="AB19" s="58">
        <f>Z19+60</f>
        <v>45997</v>
      </c>
      <c r="AC19" s="53" t="s">
        <v>63</v>
      </c>
      <c r="AD19" s="53"/>
      <c r="AF19" s="183">
        <f>VLOOKUP(B19,investasi!$B$5:$G$18,6,0)</f>
        <v>57248700</v>
      </c>
      <c r="AG19" s="184">
        <f t="shared" si="8"/>
        <v>114919900</v>
      </c>
      <c r="AH19" s="184">
        <f t="shared" si="9"/>
        <v>-57671200</v>
      </c>
      <c r="AI19" s="59" t="s">
        <v>128</v>
      </c>
    </row>
    <row r="20" spans="1:35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 (2)'!$B20,Detail!$E$4:$E$25)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 (2)'!B20,Detail!$H$4:$H$25)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6">
        <f t="shared" si="3"/>
        <v>2</v>
      </c>
      <c r="V20" s="56">
        <f t="shared" si="4"/>
        <v>0</v>
      </c>
      <c r="W20" s="55">
        <f t="shared" si="5"/>
        <v>45000000</v>
      </c>
      <c r="X20" s="56">
        <f t="shared" si="6"/>
        <v>0</v>
      </c>
      <c r="Y20" s="58">
        <v>45923</v>
      </c>
      <c r="Z20" s="58">
        <f t="shared" ref="Z20:Z27" si="11">Y20+7</f>
        <v>45930</v>
      </c>
      <c r="AA20" s="58">
        <f t="shared" ref="AA20:AA27" si="12">Z20+30</f>
        <v>45960</v>
      </c>
      <c r="AB20" s="58">
        <f t="shared" ref="AB20:AB27" si="13">Z20+60</f>
        <v>45990</v>
      </c>
      <c r="AC20" s="53" t="s">
        <v>63</v>
      </c>
      <c r="AD20" s="53"/>
      <c r="AF20" s="183">
        <f>VLOOKUP(B20,investasi!$B$5:$G$18,6,0)</f>
        <v>45000000</v>
      </c>
      <c r="AG20" s="184">
        <f t="shared" si="8"/>
        <v>45000000</v>
      </c>
      <c r="AH20" s="184">
        <f t="shared" si="9"/>
        <v>0</v>
      </c>
    </row>
    <row r="21" spans="1:35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42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6">
        <f t="shared" si="3"/>
        <v>20</v>
      </c>
      <c r="V21" s="56">
        <f t="shared" si="4"/>
        <v>0</v>
      </c>
      <c r="W21" s="55">
        <f t="shared" si="5"/>
        <v>52594750</v>
      </c>
      <c r="X21" s="56">
        <f t="shared" si="6"/>
        <v>0</v>
      </c>
      <c r="Y21" s="58">
        <v>45922</v>
      </c>
      <c r="Z21" s="58">
        <f t="shared" si="11"/>
        <v>45929</v>
      </c>
      <c r="AA21" s="58">
        <f t="shared" si="12"/>
        <v>45959</v>
      </c>
      <c r="AB21" s="58">
        <f t="shared" si="13"/>
        <v>45989</v>
      </c>
      <c r="AC21" s="53" t="s">
        <v>63</v>
      </c>
      <c r="AD21" s="53"/>
      <c r="AF21" s="183">
        <f>VLOOKUP(B21,investasi!$B$5:$G$18,6,0)</f>
        <v>52594750</v>
      </c>
      <c r="AG21" s="184">
        <f t="shared" si="8"/>
        <v>52594750</v>
      </c>
      <c r="AH21" s="184">
        <f t="shared" si="9"/>
        <v>0</v>
      </c>
    </row>
    <row r="22" spans="1:35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 t="s">
        <v>58</v>
      </c>
      <c r="U22" s="56">
        <f t="shared" si="3"/>
        <v>8</v>
      </c>
      <c r="V22" s="56">
        <f t="shared" si="4"/>
        <v>0</v>
      </c>
      <c r="W22" s="55">
        <f t="shared" si="5"/>
        <v>102000000</v>
      </c>
      <c r="X22" s="56">
        <f t="shared" si="6"/>
        <v>0</v>
      </c>
      <c r="Y22" s="58">
        <v>45925</v>
      </c>
      <c r="Z22" s="182">
        <f t="shared" si="11"/>
        <v>45932</v>
      </c>
      <c r="AA22" s="182">
        <f t="shared" si="12"/>
        <v>45962</v>
      </c>
      <c r="AB22" s="58">
        <f t="shared" si="13"/>
        <v>45992</v>
      </c>
      <c r="AC22" s="53" t="s">
        <v>63</v>
      </c>
      <c r="AD22" s="53"/>
      <c r="AF22" s="183">
        <f>VLOOKUP(B22,investasi!$B$5:$G$18,6,0)</f>
        <v>80400000</v>
      </c>
      <c r="AG22" s="184">
        <f t="shared" si="8"/>
        <v>102000000</v>
      </c>
      <c r="AH22" s="184">
        <f t="shared" si="9"/>
        <v>-21600000</v>
      </c>
      <c r="AI22" s="59" t="s">
        <v>113</v>
      </c>
    </row>
    <row r="23" spans="1:35" s="59" customFormat="1" x14ac:dyDescent="0.25">
      <c r="A23" s="181">
        <v>12</v>
      </c>
      <c r="B23" s="181">
        <f>Detail!B53</f>
        <v>5200777558</v>
      </c>
      <c r="C23" s="60">
        <v>45897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6">
        <f t="shared" si="3"/>
        <v>1</v>
      </c>
      <c r="V23" s="56">
        <f t="shared" si="4"/>
        <v>0</v>
      </c>
      <c r="W23" s="55">
        <f t="shared" si="5"/>
        <v>68500000</v>
      </c>
      <c r="X23" s="56">
        <f t="shared" si="6"/>
        <v>0</v>
      </c>
      <c r="Y23" s="58">
        <v>45923</v>
      </c>
      <c r="Z23" s="182">
        <f t="shared" si="11"/>
        <v>45930</v>
      </c>
      <c r="AA23" s="182">
        <f t="shared" si="12"/>
        <v>45960</v>
      </c>
      <c r="AB23" s="58">
        <f t="shared" si="13"/>
        <v>45990</v>
      </c>
      <c r="AC23" s="53" t="s">
        <v>63</v>
      </c>
      <c r="AD23" s="53"/>
      <c r="AF23" s="183">
        <f>VLOOKUP(B23,investasi!$B$5:$G$18,6,0)</f>
        <v>68500000</v>
      </c>
      <c r="AG23" s="184">
        <f t="shared" si="8"/>
        <v>68500000</v>
      </c>
      <c r="AH23" s="184">
        <f t="shared" si="9"/>
        <v>0</v>
      </c>
    </row>
    <row r="24" spans="1:35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6">
        <f t="shared" si="3"/>
        <v>2</v>
      </c>
      <c r="V24" s="56">
        <f t="shared" si="4"/>
        <v>0</v>
      </c>
      <c r="W24" s="55">
        <f t="shared" si="5"/>
        <v>45000000</v>
      </c>
      <c r="X24" s="56">
        <f t="shared" si="6"/>
        <v>0</v>
      </c>
      <c r="Y24" s="182">
        <v>45925</v>
      </c>
      <c r="Z24" s="182">
        <f t="shared" si="11"/>
        <v>45932</v>
      </c>
      <c r="AA24" s="182">
        <f t="shared" si="12"/>
        <v>45962</v>
      </c>
      <c r="AB24" s="58">
        <f t="shared" si="13"/>
        <v>45992</v>
      </c>
      <c r="AC24" s="53" t="s">
        <v>63</v>
      </c>
      <c r="AD24" s="55"/>
      <c r="AF24" s="183">
        <f>VLOOKUP(B24,investasi!$B$5:$G$18,6,0)</f>
        <v>45000000</v>
      </c>
      <c r="AG24" s="184">
        <f t="shared" si="8"/>
        <v>45000000</v>
      </c>
      <c r="AH24" s="184">
        <f t="shared" si="9"/>
        <v>0</v>
      </c>
    </row>
    <row r="25" spans="1:35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6">
        <f t="shared" si="3"/>
        <v>1</v>
      </c>
      <c r="V25" s="56">
        <f t="shared" si="4"/>
        <v>0</v>
      </c>
      <c r="W25" s="55">
        <f t="shared" si="5"/>
        <v>223104820</v>
      </c>
      <c r="X25" s="56">
        <f t="shared" si="6"/>
        <v>0</v>
      </c>
      <c r="Y25" s="182">
        <v>45930</v>
      </c>
      <c r="Z25" s="182">
        <f t="shared" si="11"/>
        <v>45937</v>
      </c>
      <c r="AA25" s="182">
        <f t="shared" si="12"/>
        <v>45967</v>
      </c>
      <c r="AB25" s="58">
        <f t="shared" si="13"/>
        <v>45997</v>
      </c>
      <c r="AC25" s="53" t="s">
        <v>63</v>
      </c>
      <c r="AD25" s="53"/>
      <c r="AF25" s="183">
        <f>VLOOKUP(B25,investasi!$B$5:$G$18,6,0)</f>
        <v>223104820</v>
      </c>
      <c r="AG25" s="184">
        <f t="shared" si="8"/>
        <v>223104820</v>
      </c>
      <c r="AH25" s="184">
        <f t="shared" si="9"/>
        <v>0</v>
      </c>
    </row>
    <row r="26" spans="1:35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6">
        <f t="shared" si="3"/>
        <v>2</v>
      </c>
      <c r="V26" s="56">
        <f t="shared" si="4"/>
        <v>0</v>
      </c>
      <c r="W26" s="55">
        <f t="shared" si="5"/>
        <v>45000000</v>
      </c>
      <c r="X26" s="56">
        <f t="shared" si="6"/>
        <v>0</v>
      </c>
      <c r="Y26" s="182">
        <v>45940</v>
      </c>
      <c r="Z26" s="182">
        <f t="shared" si="11"/>
        <v>45947</v>
      </c>
      <c r="AA26" s="182">
        <f t="shared" si="12"/>
        <v>45977</v>
      </c>
      <c r="AB26" s="58">
        <f t="shared" si="13"/>
        <v>46007</v>
      </c>
      <c r="AC26" s="53" t="s">
        <v>63</v>
      </c>
      <c r="AD26" s="53"/>
      <c r="AF26" s="183">
        <f>VLOOKUP(B26,investasi!$B$23:$G$26,6,0)</f>
        <v>45000000</v>
      </c>
      <c r="AG26" s="184">
        <f>M26</f>
        <v>45000000</v>
      </c>
      <c r="AH26" s="184">
        <f t="shared" si="9"/>
        <v>0</v>
      </c>
    </row>
    <row r="27" spans="1:35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6">
        <f t="shared" si="3"/>
        <v>1</v>
      </c>
      <c r="V27" s="56">
        <f t="shared" si="4"/>
        <v>0</v>
      </c>
      <c r="W27" s="55">
        <f>J27*U27+L27</f>
        <v>134761000</v>
      </c>
      <c r="X27" s="56">
        <f>K27+L27-W27</f>
        <v>0</v>
      </c>
      <c r="Y27" s="182">
        <v>45940</v>
      </c>
      <c r="Z27" s="182">
        <f t="shared" si="11"/>
        <v>45947</v>
      </c>
      <c r="AA27" s="182">
        <f t="shared" si="12"/>
        <v>45977</v>
      </c>
      <c r="AB27" s="58">
        <f t="shared" si="13"/>
        <v>46007</v>
      </c>
      <c r="AC27" s="53" t="s">
        <v>63</v>
      </c>
      <c r="AD27" s="53"/>
      <c r="AF27" s="183">
        <f>VLOOKUP(B27,investasi!$B$23:$G$26,6,0)+investasi!I24</f>
        <v>134761000</v>
      </c>
      <c r="AG27" s="184">
        <f t="shared" si="8"/>
        <v>134761000</v>
      </c>
      <c r="AH27" s="184">
        <f t="shared" si="9"/>
        <v>0</v>
      </c>
    </row>
    <row r="28" spans="1:35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6">
        <f t="shared" si="3"/>
        <v>0</v>
      </c>
      <c r="V28" s="56"/>
      <c r="W28" s="55"/>
      <c r="X28" s="56"/>
      <c r="Y28" s="182"/>
      <c r="Z28" s="182"/>
      <c r="AA28" s="182"/>
      <c r="AB28" s="58"/>
      <c r="AC28" s="53" t="s">
        <v>63</v>
      </c>
      <c r="AD28" s="53"/>
      <c r="AF28" s="183"/>
      <c r="AG28" s="184"/>
    </row>
    <row r="29" spans="1:35" s="67" customFormat="1" x14ac:dyDescent="0.25">
      <c r="A29" s="180">
        <v>18</v>
      </c>
      <c r="B29" s="180">
        <f>Detail!B60</f>
        <v>5200779815</v>
      </c>
      <c r="C29" s="62">
        <v>45965</v>
      </c>
      <c r="D29" s="61" t="s">
        <v>61</v>
      </c>
      <c r="E29" s="63">
        <v>1</v>
      </c>
      <c r="F29" s="63"/>
      <c r="G29" s="63">
        <f>Detail!F60</f>
        <v>685000000</v>
      </c>
      <c r="H29" s="63">
        <f t="shared" si="0"/>
        <v>685000000</v>
      </c>
      <c r="I29" s="63">
        <f t="shared" si="14"/>
        <v>342500000</v>
      </c>
      <c r="J29" s="63">
        <f t="shared" si="15"/>
        <v>68500000</v>
      </c>
      <c r="K29" s="64">
        <f>(I29*20%)+F29</f>
        <v>68500000</v>
      </c>
      <c r="L29" s="64">
        <v>66261000</v>
      </c>
      <c r="M29" s="64">
        <f t="shared" si="10"/>
        <v>134761000</v>
      </c>
      <c r="N29" s="61"/>
      <c r="O29" s="64"/>
      <c r="P29" s="61"/>
      <c r="Q29" s="61"/>
      <c r="R29" s="61">
        <v>1</v>
      </c>
      <c r="S29" s="61"/>
      <c r="T29" s="61"/>
      <c r="U29" s="64">
        <f t="shared" si="3"/>
        <v>1</v>
      </c>
      <c r="V29" s="64">
        <f t="shared" ref="V29" si="17">E29-U29</f>
        <v>0</v>
      </c>
      <c r="W29" s="63">
        <f>J29*U29+L29</f>
        <v>134761000</v>
      </c>
      <c r="X29" s="64">
        <f>K29+L29-W29</f>
        <v>0</v>
      </c>
      <c r="Y29" s="68">
        <v>45989</v>
      </c>
      <c r="Z29" s="68">
        <v>46008</v>
      </c>
      <c r="AA29" s="68">
        <f t="shared" ref="AA29:AA42" si="18">Z29+30</f>
        <v>46038</v>
      </c>
      <c r="AB29" s="65">
        <f t="shared" ref="AB29:AB42" si="19">Z29+60</f>
        <v>46068</v>
      </c>
      <c r="AC29" s="61" t="s">
        <v>69</v>
      </c>
      <c r="AD29" s="61"/>
      <c r="AF29" s="196">
        <f>VLOOKUP(B29,investasi!$B$23:$G$26,6,0)+investasi!I26</f>
        <v>134761000</v>
      </c>
      <c r="AG29" s="197">
        <f t="shared" si="8"/>
        <v>134761000</v>
      </c>
      <c r="AH29" s="197">
        <f t="shared" si="9"/>
        <v>0</v>
      </c>
    </row>
    <row r="30" spans="1:35" s="67" customFormat="1" x14ac:dyDescent="0.25">
      <c r="A30" s="180">
        <f>A29+1</f>
        <v>19</v>
      </c>
      <c r="B30" s="180">
        <v>5200988854</v>
      </c>
      <c r="C30" s="62">
        <v>45977</v>
      </c>
      <c r="D30" s="61" t="s">
        <v>114</v>
      </c>
      <c r="E30" s="63">
        <v>150</v>
      </c>
      <c r="F30" s="63"/>
      <c r="G30" s="63">
        <v>4990500</v>
      </c>
      <c r="H30" s="63">
        <f>E30*G30</f>
        <v>748575000</v>
      </c>
      <c r="I30" s="63">
        <f t="shared" si="14"/>
        <v>374287500</v>
      </c>
      <c r="J30" s="63">
        <f t="shared" si="15"/>
        <v>499050</v>
      </c>
      <c r="K30" s="64">
        <f>(I30*20%)+F30</f>
        <v>74857500</v>
      </c>
      <c r="L30" s="64"/>
      <c r="M30" s="64">
        <f t="shared" si="10"/>
        <v>74857500</v>
      </c>
      <c r="N30" s="61"/>
      <c r="O30" s="64"/>
      <c r="P30" s="61"/>
      <c r="Q30" s="61"/>
      <c r="R30" s="61">
        <v>150</v>
      </c>
      <c r="S30" s="61"/>
      <c r="T30" s="61"/>
      <c r="U30" s="64">
        <f t="shared" si="3"/>
        <v>150</v>
      </c>
      <c r="V30" s="64">
        <f t="shared" ref="V30" si="20">E30-U30</f>
        <v>0</v>
      </c>
      <c r="W30" s="63">
        <f>J30*U30+L30</f>
        <v>74857500</v>
      </c>
      <c r="X30" s="64">
        <f>K30+L30-W30</f>
        <v>0</v>
      </c>
      <c r="Y30" s="68">
        <v>45989</v>
      </c>
      <c r="Z30" s="68">
        <v>46008</v>
      </c>
      <c r="AA30" s="68">
        <f t="shared" si="18"/>
        <v>46038</v>
      </c>
      <c r="AB30" s="65">
        <f t="shared" si="19"/>
        <v>46068</v>
      </c>
      <c r="AC30" s="61" t="s">
        <v>69</v>
      </c>
      <c r="AD30" s="61"/>
      <c r="AF30" s="196"/>
      <c r="AG30" s="197"/>
      <c r="AH30" s="197"/>
    </row>
    <row r="31" spans="1:35" ht="14.25" customHeight="1" x14ac:dyDescent="0.25">
      <c r="A31" s="31">
        <f t="shared" ref="A31:A42" si="21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22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23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>
        <f t="shared" si="3"/>
        <v>0</v>
      </c>
      <c r="V31" s="7"/>
      <c r="W31" s="78"/>
      <c r="X31" s="7">
        <f t="shared" ref="X31:X34" si="24">K31+L31-W31</f>
        <v>211000000</v>
      </c>
      <c r="Y31" s="27"/>
      <c r="Z31" s="185"/>
      <c r="AA31" s="185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21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22"/>
        <v>2110000000</v>
      </c>
      <c r="I32" s="78">
        <f t="shared" si="14"/>
        <v>1055000000</v>
      </c>
      <c r="J32" s="78">
        <f t="shared" si="15"/>
        <v>2110000</v>
      </c>
      <c r="K32" s="7">
        <f t="shared" si="23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>
        <f t="shared" si="3"/>
        <v>0</v>
      </c>
      <c r="V32" s="7"/>
      <c r="W32" s="78"/>
      <c r="X32" s="7">
        <f t="shared" si="24"/>
        <v>211000000</v>
      </c>
      <c r="Y32" s="27"/>
      <c r="Z32" s="185"/>
      <c r="AA32" s="185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21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22"/>
        <v>2321000000</v>
      </c>
      <c r="I33" s="78">
        <f t="shared" si="14"/>
        <v>1160500000</v>
      </c>
      <c r="J33" s="78">
        <f t="shared" si="15"/>
        <v>2110000</v>
      </c>
      <c r="K33" s="7">
        <f t="shared" si="23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>
        <f t="shared" si="3"/>
        <v>0</v>
      </c>
      <c r="V33" s="7"/>
      <c r="W33" s="78"/>
      <c r="X33" s="7">
        <f t="shared" si="24"/>
        <v>232100000</v>
      </c>
      <c r="Y33" s="27"/>
      <c r="Z33" s="185"/>
      <c r="AA33" s="185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>
        <f t="shared" si="21"/>
        <v>23</v>
      </c>
      <c r="B34" s="163">
        <v>5200992759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2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>
        <f t="shared" si="3"/>
        <v>0</v>
      </c>
      <c r="V34" s="7"/>
      <c r="W34" s="78"/>
      <c r="X34" s="7">
        <f t="shared" si="24"/>
        <v>76500000</v>
      </c>
      <c r="Y34" s="27"/>
      <c r="Z34" s="185"/>
      <c r="AA34" s="185"/>
      <c r="AB34" s="27"/>
      <c r="AC34" s="4" t="s">
        <v>65</v>
      </c>
      <c r="AD34" s="4"/>
      <c r="AF34" s="82"/>
      <c r="AG34" s="2"/>
      <c r="AH34" s="2"/>
    </row>
    <row r="35" spans="1:34" ht="14.25" customHeight="1" x14ac:dyDescent="0.25">
      <c r="A35" s="31">
        <f t="shared" si="21"/>
        <v>24</v>
      </c>
      <c r="B35" s="179">
        <v>5200991260</v>
      </c>
      <c r="C35" s="16">
        <v>45985</v>
      </c>
      <c r="D35" s="4" t="s">
        <v>114</v>
      </c>
      <c r="E35" s="78">
        <v>150</v>
      </c>
      <c r="F35" s="78"/>
      <c r="G35" s="78">
        <v>4990500</v>
      </c>
      <c r="H35" s="78">
        <f>E35*G35</f>
        <v>748575000</v>
      </c>
      <c r="I35" s="78">
        <f t="shared" si="14"/>
        <v>374287500</v>
      </c>
      <c r="J35" s="78">
        <f t="shared" ref="J35:J42" si="25">(I35*20%)/E35</f>
        <v>499050</v>
      </c>
      <c r="K35" s="7">
        <f>(I35*20%)+F35</f>
        <v>74857500</v>
      </c>
      <c r="L35" s="7"/>
      <c r="M35" s="7">
        <f t="shared" ref="M35:M42" si="26">SUM(K35:L35)</f>
        <v>74857500</v>
      </c>
      <c r="N35" s="4"/>
      <c r="O35" s="7"/>
      <c r="P35" s="4"/>
      <c r="Q35" s="4"/>
      <c r="R35" s="4"/>
      <c r="S35" s="4"/>
      <c r="T35" s="4"/>
      <c r="U35" s="7">
        <f t="shared" si="3"/>
        <v>0</v>
      </c>
      <c r="V35" s="7"/>
      <c r="W35" s="78"/>
      <c r="X35" s="7">
        <f>K35+L35-W35</f>
        <v>74857500</v>
      </c>
      <c r="Y35" s="27">
        <f>C35+14</f>
        <v>45999</v>
      </c>
      <c r="Z35" s="182">
        <f t="shared" ref="Z35:Z42" si="27">Y35+7</f>
        <v>46006</v>
      </c>
      <c r="AA35" s="182">
        <f t="shared" si="18"/>
        <v>46036</v>
      </c>
      <c r="AB35" s="58">
        <f t="shared" si="19"/>
        <v>46066</v>
      </c>
      <c r="AC35" s="4" t="s">
        <v>65</v>
      </c>
      <c r="AD35" s="4"/>
      <c r="AF35" s="82"/>
      <c r="AG35" s="2"/>
      <c r="AH35" s="2"/>
    </row>
    <row r="36" spans="1:34" ht="14.25" customHeight="1" x14ac:dyDescent="0.25">
      <c r="A36" s="31">
        <f t="shared" si="21"/>
        <v>25</v>
      </c>
      <c r="B36" s="179">
        <v>5200991264</v>
      </c>
      <c r="C36" s="16">
        <v>45985</v>
      </c>
      <c r="D36" s="4" t="s">
        <v>114</v>
      </c>
      <c r="E36" s="78">
        <v>150</v>
      </c>
      <c r="F36" s="78"/>
      <c r="G36" s="78">
        <v>4990500</v>
      </c>
      <c r="H36" s="78">
        <f t="shared" ref="H36:H39" si="28">E36*G36</f>
        <v>748575000</v>
      </c>
      <c r="I36" s="78">
        <f t="shared" si="14"/>
        <v>374287500</v>
      </c>
      <c r="J36" s="78">
        <f t="shared" si="25"/>
        <v>499050</v>
      </c>
      <c r="K36" s="7">
        <f t="shared" ref="K36:K39" si="29">(I36*20%)+F36</f>
        <v>74857500</v>
      </c>
      <c r="L36" s="7"/>
      <c r="M36" s="7">
        <f t="shared" si="26"/>
        <v>74857500</v>
      </c>
      <c r="N36" s="4"/>
      <c r="O36" s="7"/>
      <c r="P36" s="4"/>
      <c r="Q36" s="4"/>
      <c r="R36" s="4"/>
      <c r="S36" s="4"/>
      <c r="T36" s="4"/>
      <c r="U36" s="7">
        <f t="shared" si="3"/>
        <v>0</v>
      </c>
      <c r="V36" s="7"/>
      <c r="W36" s="78"/>
      <c r="X36" s="7">
        <f t="shared" ref="X36:X39" si="30">K36+L36-W36</f>
        <v>74857500</v>
      </c>
      <c r="Y36" s="27">
        <f t="shared" ref="Y36:Y42" si="31">C36+21</f>
        <v>46006</v>
      </c>
      <c r="Z36" s="182">
        <f t="shared" si="27"/>
        <v>46013</v>
      </c>
      <c r="AA36" s="182">
        <f t="shared" si="18"/>
        <v>46043</v>
      </c>
      <c r="AB36" s="58">
        <f t="shared" si="19"/>
        <v>46073</v>
      </c>
      <c r="AC36" s="4" t="s">
        <v>65</v>
      </c>
      <c r="AD36" s="4"/>
      <c r="AF36" s="82"/>
      <c r="AG36" s="2"/>
      <c r="AH36" s="2"/>
    </row>
    <row r="37" spans="1:34" ht="14.25" customHeight="1" x14ac:dyDescent="0.25">
      <c r="A37" s="31">
        <f t="shared" si="21"/>
        <v>26</v>
      </c>
      <c r="B37" s="179">
        <v>5200991456</v>
      </c>
      <c r="C37" s="16">
        <v>45986</v>
      </c>
      <c r="D37" s="4" t="s">
        <v>114</v>
      </c>
      <c r="E37" s="78">
        <v>150</v>
      </c>
      <c r="F37" s="78"/>
      <c r="G37" s="78">
        <v>4990500</v>
      </c>
      <c r="H37" s="78">
        <f t="shared" si="28"/>
        <v>748575000</v>
      </c>
      <c r="I37" s="78">
        <f t="shared" si="14"/>
        <v>374287500</v>
      </c>
      <c r="J37" s="78">
        <f t="shared" si="25"/>
        <v>499050</v>
      </c>
      <c r="K37" s="7">
        <f t="shared" si="29"/>
        <v>74857500</v>
      </c>
      <c r="L37" s="7"/>
      <c r="M37" s="7">
        <f t="shared" si="26"/>
        <v>74857500</v>
      </c>
      <c r="N37" s="4"/>
      <c r="O37" s="7"/>
      <c r="P37" s="4"/>
      <c r="Q37" s="4"/>
      <c r="R37" s="4"/>
      <c r="S37" s="4"/>
      <c r="T37" s="4"/>
      <c r="U37" s="7">
        <f t="shared" si="3"/>
        <v>0</v>
      </c>
      <c r="V37" s="7"/>
      <c r="W37" s="78"/>
      <c r="X37" s="7">
        <f t="shared" si="30"/>
        <v>74857500</v>
      </c>
      <c r="Y37" s="27">
        <f t="shared" si="31"/>
        <v>46007</v>
      </c>
      <c r="Z37" s="182">
        <f t="shared" si="27"/>
        <v>46014</v>
      </c>
      <c r="AA37" s="182">
        <f t="shared" si="18"/>
        <v>46044</v>
      </c>
      <c r="AB37" s="58">
        <f t="shared" si="19"/>
        <v>46074</v>
      </c>
      <c r="AC37" s="4" t="s">
        <v>65</v>
      </c>
      <c r="AD37" s="4"/>
      <c r="AF37" s="82"/>
      <c r="AG37" s="2"/>
      <c r="AH37" s="2"/>
    </row>
    <row r="38" spans="1:34" ht="14.25" customHeight="1" x14ac:dyDescent="0.25">
      <c r="A38" s="31">
        <f t="shared" si="21"/>
        <v>27</v>
      </c>
      <c r="B38" s="179">
        <v>5200991458</v>
      </c>
      <c r="C38" s="16">
        <v>45986</v>
      </c>
      <c r="D38" s="4" t="s">
        <v>114</v>
      </c>
      <c r="E38" s="78">
        <v>150</v>
      </c>
      <c r="F38" s="78"/>
      <c r="G38" s="78">
        <v>4990500</v>
      </c>
      <c r="H38" s="78">
        <f t="shared" si="28"/>
        <v>748575000</v>
      </c>
      <c r="I38" s="78">
        <f t="shared" si="14"/>
        <v>374287500</v>
      </c>
      <c r="J38" s="78">
        <f t="shared" si="25"/>
        <v>499050</v>
      </c>
      <c r="K38" s="7">
        <f t="shared" si="29"/>
        <v>74857500</v>
      </c>
      <c r="L38" s="7"/>
      <c r="M38" s="7">
        <f t="shared" si="26"/>
        <v>74857500</v>
      </c>
      <c r="N38" s="4"/>
      <c r="O38" s="7"/>
      <c r="P38" s="4"/>
      <c r="Q38" s="4"/>
      <c r="R38" s="4"/>
      <c r="S38" s="4"/>
      <c r="T38" s="4"/>
      <c r="U38" s="7">
        <f t="shared" si="3"/>
        <v>0</v>
      </c>
      <c r="V38" s="7"/>
      <c r="W38" s="78"/>
      <c r="X38" s="7">
        <f t="shared" si="30"/>
        <v>74857500</v>
      </c>
      <c r="Y38" s="27">
        <f t="shared" si="31"/>
        <v>46007</v>
      </c>
      <c r="Z38" s="182">
        <f t="shared" si="27"/>
        <v>46014</v>
      </c>
      <c r="AA38" s="182">
        <f t="shared" si="18"/>
        <v>46044</v>
      </c>
      <c r="AB38" s="58">
        <f t="shared" si="19"/>
        <v>46074</v>
      </c>
      <c r="AC38" s="4" t="s">
        <v>65</v>
      </c>
      <c r="AD38" s="4"/>
      <c r="AF38" s="82"/>
      <c r="AG38" s="2"/>
      <c r="AH38" s="2"/>
    </row>
    <row r="39" spans="1:34" ht="14.25" customHeight="1" x14ac:dyDescent="0.25">
      <c r="A39" s="31">
        <f t="shared" si="21"/>
        <v>28</v>
      </c>
      <c r="B39" s="179">
        <v>5200991502</v>
      </c>
      <c r="C39" s="16">
        <v>45986</v>
      </c>
      <c r="D39" s="4" t="s">
        <v>114</v>
      </c>
      <c r="E39" s="78">
        <v>150</v>
      </c>
      <c r="F39" s="78"/>
      <c r="G39" s="78">
        <v>4990500</v>
      </c>
      <c r="H39" s="78">
        <f t="shared" si="28"/>
        <v>748575000</v>
      </c>
      <c r="I39" s="78">
        <f t="shared" si="14"/>
        <v>374287500</v>
      </c>
      <c r="J39" s="78">
        <f t="shared" si="25"/>
        <v>499050</v>
      </c>
      <c r="K39" s="7">
        <f t="shared" si="29"/>
        <v>74857500</v>
      </c>
      <c r="L39" s="7"/>
      <c r="M39" s="7">
        <f t="shared" si="26"/>
        <v>74857500</v>
      </c>
      <c r="N39" s="4"/>
      <c r="O39" s="7"/>
      <c r="P39" s="4"/>
      <c r="Q39" s="4"/>
      <c r="R39" s="4"/>
      <c r="S39" s="4"/>
      <c r="T39" s="4"/>
      <c r="U39" s="7">
        <f t="shared" si="3"/>
        <v>0</v>
      </c>
      <c r="V39" s="7"/>
      <c r="W39" s="78"/>
      <c r="X39" s="7">
        <f t="shared" si="30"/>
        <v>74857500</v>
      </c>
      <c r="Y39" s="27">
        <f t="shared" si="31"/>
        <v>46007</v>
      </c>
      <c r="Z39" s="182">
        <f t="shared" si="27"/>
        <v>46014</v>
      </c>
      <c r="AA39" s="182">
        <f t="shared" si="18"/>
        <v>46044</v>
      </c>
      <c r="AB39" s="58">
        <f t="shared" si="19"/>
        <v>46074</v>
      </c>
      <c r="AC39" s="4" t="s">
        <v>65</v>
      </c>
      <c r="AD39" s="4"/>
      <c r="AF39" s="82"/>
      <c r="AG39" s="2"/>
      <c r="AH39" s="2"/>
    </row>
    <row r="40" spans="1:34" ht="14.25" customHeight="1" x14ac:dyDescent="0.25">
      <c r="A40" s="31">
        <f t="shared" si="21"/>
        <v>29</v>
      </c>
      <c r="B40" s="179">
        <v>5200991503</v>
      </c>
      <c r="C40" s="16">
        <v>45986</v>
      </c>
      <c r="D40" s="4" t="s">
        <v>114</v>
      </c>
      <c r="E40" s="78">
        <v>150</v>
      </c>
      <c r="F40" s="78"/>
      <c r="G40" s="78">
        <v>4990500</v>
      </c>
      <c r="H40" s="78">
        <f>E40*G40</f>
        <v>748575000</v>
      </c>
      <c r="I40" s="78">
        <f t="shared" si="14"/>
        <v>374287500</v>
      </c>
      <c r="J40" s="78">
        <f t="shared" si="25"/>
        <v>499050</v>
      </c>
      <c r="K40" s="7">
        <f>(I40*20%)+F40</f>
        <v>74857500</v>
      </c>
      <c r="L40" s="7"/>
      <c r="M40" s="7">
        <f t="shared" si="26"/>
        <v>74857500</v>
      </c>
      <c r="N40" s="4"/>
      <c r="O40" s="7"/>
      <c r="P40" s="4"/>
      <c r="Q40" s="4"/>
      <c r="R40" s="4"/>
      <c r="S40" s="4"/>
      <c r="T40" s="4"/>
      <c r="U40" s="7">
        <f t="shared" si="3"/>
        <v>0</v>
      </c>
      <c r="V40" s="7"/>
      <c r="W40" s="78"/>
      <c r="X40" s="7">
        <f>K40+L40-W40</f>
        <v>74857500</v>
      </c>
      <c r="Y40" s="27">
        <f t="shared" si="31"/>
        <v>46007</v>
      </c>
      <c r="Z40" s="182">
        <f t="shared" si="27"/>
        <v>46014</v>
      </c>
      <c r="AA40" s="182">
        <f t="shared" si="18"/>
        <v>46044</v>
      </c>
      <c r="AB40" s="58">
        <f t="shared" si="19"/>
        <v>46074</v>
      </c>
      <c r="AC40" s="4" t="s">
        <v>65</v>
      </c>
      <c r="AD40" s="4"/>
      <c r="AF40" s="82"/>
      <c r="AG40" s="2"/>
      <c r="AH40" s="2"/>
    </row>
    <row r="41" spans="1:34" ht="14.25" customHeight="1" x14ac:dyDescent="0.25">
      <c r="A41" s="31">
        <f t="shared" si="21"/>
        <v>30</v>
      </c>
      <c r="B41" s="179" t="s">
        <v>152</v>
      </c>
      <c r="C41" s="16">
        <v>45986</v>
      </c>
      <c r="D41" s="4" t="s">
        <v>114</v>
      </c>
      <c r="E41" s="78">
        <v>50</v>
      </c>
      <c r="F41" s="78"/>
      <c r="G41" s="78">
        <v>4990500</v>
      </c>
      <c r="H41" s="78">
        <f>E41*G41</f>
        <v>249525000</v>
      </c>
      <c r="I41" s="78">
        <f t="shared" si="14"/>
        <v>124762500</v>
      </c>
      <c r="J41" s="78">
        <f t="shared" si="25"/>
        <v>499050</v>
      </c>
      <c r="K41" s="7">
        <f>(I41*20%)+F41</f>
        <v>24952500</v>
      </c>
      <c r="L41" s="7"/>
      <c r="M41" s="7">
        <f t="shared" si="26"/>
        <v>24952500</v>
      </c>
      <c r="N41" s="4"/>
      <c r="O41" s="7"/>
      <c r="P41" s="4"/>
      <c r="Q41" s="4"/>
      <c r="R41" s="4"/>
      <c r="S41" s="4"/>
      <c r="T41" s="4"/>
      <c r="U41" s="7">
        <f t="shared" si="3"/>
        <v>0</v>
      </c>
      <c r="V41" s="7"/>
      <c r="W41" s="78"/>
      <c r="X41" s="7">
        <f>K41+L41-W41</f>
        <v>24952500</v>
      </c>
      <c r="Y41" s="27">
        <f t="shared" si="31"/>
        <v>46007</v>
      </c>
      <c r="Z41" s="182">
        <f t="shared" si="27"/>
        <v>46014</v>
      </c>
      <c r="AA41" s="182">
        <f t="shared" si="18"/>
        <v>46044</v>
      </c>
      <c r="AB41" s="58">
        <f t="shared" si="19"/>
        <v>46074</v>
      </c>
      <c r="AC41" s="4" t="s">
        <v>65</v>
      </c>
      <c r="AD41" s="4"/>
      <c r="AF41" s="82"/>
      <c r="AG41" s="2"/>
      <c r="AH41" s="2"/>
    </row>
    <row r="42" spans="1:34" ht="14.25" customHeight="1" thickBot="1" x14ac:dyDescent="0.3">
      <c r="A42" s="31">
        <f t="shared" si="21"/>
        <v>31</v>
      </c>
      <c r="B42" s="179">
        <v>5200996833</v>
      </c>
      <c r="C42" s="16">
        <v>46021</v>
      </c>
      <c r="D42" s="4" t="s">
        <v>153</v>
      </c>
      <c r="E42" s="78">
        <v>1</v>
      </c>
      <c r="F42" s="78"/>
      <c r="G42" s="78"/>
      <c r="H42" s="78">
        <v>1188000000</v>
      </c>
      <c r="I42" s="78">
        <f t="shared" si="14"/>
        <v>594000000</v>
      </c>
      <c r="J42" s="78">
        <f t="shared" si="25"/>
        <v>118800000</v>
      </c>
      <c r="K42" s="7">
        <f>(I42*20%)+F42</f>
        <v>118800000</v>
      </c>
      <c r="L42" s="7"/>
      <c r="M42" s="7">
        <f t="shared" si="26"/>
        <v>118800000</v>
      </c>
      <c r="N42" s="4"/>
      <c r="O42" s="7"/>
      <c r="P42" s="4"/>
      <c r="Q42" s="4"/>
      <c r="R42" s="4"/>
      <c r="S42" s="4"/>
      <c r="T42" s="4"/>
      <c r="U42" s="7"/>
      <c r="V42" s="7"/>
      <c r="W42" s="78"/>
      <c r="X42" s="7"/>
      <c r="Y42" s="27">
        <f t="shared" si="31"/>
        <v>46042</v>
      </c>
      <c r="Z42" s="182">
        <f t="shared" si="27"/>
        <v>46049</v>
      </c>
      <c r="AA42" s="182">
        <f t="shared" si="18"/>
        <v>46079</v>
      </c>
      <c r="AB42" s="58">
        <f t="shared" si="19"/>
        <v>46109</v>
      </c>
      <c r="AC42" s="4" t="s">
        <v>65</v>
      </c>
      <c r="AD42" s="4"/>
      <c r="AF42" s="82"/>
      <c r="AG42" s="2"/>
      <c r="AH42" s="2"/>
    </row>
    <row r="43" spans="1:34" ht="15.75" thickBot="1" x14ac:dyDescent="0.3">
      <c r="B43" s="32" t="s">
        <v>51</v>
      </c>
      <c r="C43" s="18"/>
      <c r="D43" s="18"/>
      <c r="E43" s="18"/>
      <c r="F43" s="18"/>
      <c r="G43" s="18"/>
      <c r="H43" s="19">
        <f>SUM(H12:H42)</f>
        <v>26269947200</v>
      </c>
      <c r="I43" s="19">
        <f t="shared" ref="I43" si="32">SUM(I12:I42)</f>
        <v>13134973600</v>
      </c>
      <c r="J43" s="18"/>
      <c r="K43" s="19">
        <f>SUM(K12:K42)</f>
        <v>2636474470</v>
      </c>
      <c r="L43" s="19">
        <f>SUM(L12:L42)</f>
        <v>132522000</v>
      </c>
      <c r="M43" s="19">
        <f>SUM(M12:M42)</f>
        <v>2768996470</v>
      </c>
      <c r="N43" s="18"/>
      <c r="O43" s="18"/>
      <c r="P43" s="18"/>
      <c r="Q43" s="18"/>
      <c r="R43" s="18"/>
      <c r="S43" s="18"/>
      <c r="T43" s="18"/>
      <c r="U43" s="18"/>
      <c r="V43" s="18"/>
      <c r="W43" s="19">
        <f>SUM(W12:W42)</f>
        <v>1445498970</v>
      </c>
      <c r="X43" s="19">
        <f>SUM(X12:X42)</f>
        <v>1204697500</v>
      </c>
      <c r="Y43" s="24"/>
    </row>
    <row r="44" spans="1:34" x14ac:dyDescent="0.25">
      <c r="E44" s="9"/>
      <c r="F44" s="9"/>
      <c r="G44" s="9"/>
      <c r="H44" s="9"/>
      <c r="I44" s="9"/>
      <c r="J44" s="9"/>
      <c r="K44" s="9"/>
      <c r="L44" s="9"/>
      <c r="M44" s="9"/>
      <c r="X44" s="2">
        <f>W43+X43-H56</f>
        <v>2650196470</v>
      </c>
    </row>
    <row r="45" spans="1:34" x14ac:dyDescent="0.25">
      <c r="E45" s="9" t="s">
        <v>36</v>
      </c>
      <c r="F45" s="9"/>
      <c r="G45" s="9" t="s">
        <v>37</v>
      </c>
      <c r="H45" s="9" t="s">
        <v>38</v>
      </c>
      <c r="I45" s="9" t="s">
        <v>39</v>
      </c>
      <c r="J45" s="9" t="s">
        <v>40</v>
      </c>
      <c r="K45" s="9" t="s">
        <v>41</v>
      </c>
      <c r="L45" s="9"/>
      <c r="M45" s="9"/>
    </row>
    <row r="46" spans="1:34" ht="30" x14ac:dyDescent="0.25">
      <c r="E46" s="10" t="s">
        <v>32</v>
      </c>
      <c r="F46" s="11" t="s">
        <v>46</v>
      </c>
      <c r="G46" s="10" t="s">
        <v>8</v>
      </c>
      <c r="H46" s="11" t="s">
        <v>71</v>
      </c>
      <c r="I46" s="12" t="s">
        <v>42</v>
      </c>
      <c r="J46" s="12" t="s">
        <v>133</v>
      </c>
      <c r="K46" s="13" t="s">
        <v>30</v>
      </c>
      <c r="L46" s="33"/>
      <c r="M46" s="33"/>
    </row>
    <row r="47" spans="1:34" x14ac:dyDescent="0.25">
      <c r="E47" s="5">
        <v>45839</v>
      </c>
      <c r="F47" s="7">
        <f>SUM(I12:I14)</f>
        <v>900000000</v>
      </c>
      <c r="G47" s="7">
        <f>SUM(W12:W14)</f>
        <v>180000000</v>
      </c>
      <c r="H47" s="6"/>
      <c r="I47" s="6"/>
      <c r="J47" s="6"/>
      <c r="K47" s="7">
        <f>F47+G47</f>
        <v>1080000000</v>
      </c>
      <c r="L47" s="2"/>
      <c r="M47" s="2"/>
      <c r="X47" s="2">
        <f>SUM(I26:I29,AG26:AG29)</f>
        <v>1224522000</v>
      </c>
    </row>
    <row r="48" spans="1:34" x14ac:dyDescent="0.25">
      <c r="E48" s="5">
        <v>45870</v>
      </c>
      <c r="F48" s="7">
        <f>SUM(I15:I18)</f>
        <v>1125000000</v>
      </c>
      <c r="G48" s="7">
        <f>SUM(W15:W18)</f>
        <v>225000000</v>
      </c>
      <c r="H48" s="7"/>
      <c r="I48" s="7">
        <f>SUM(I19:I22)</f>
        <v>1606174500</v>
      </c>
      <c r="J48" s="7"/>
      <c r="K48" s="7">
        <f>K47+F48+G48+H48-I48-J48</f>
        <v>823825500</v>
      </c>
      <c r="L48" s="2"/>
      <c r="M48" s="2"/>
    </row>
    <row r="49" spans="2:22" x14ac:dyDescent="0.25">
      <c r="E49" s="5">
        <v>45901</v>
      </c>
      <c r="F49" s="7">
        <v>1426698600</v>
      </c>
      <c r="G49" s="7"/>
      <c r="H49" s="7"/>
      <c r="I49" s="7">
        <f>SUM(I23:I27)</f>
        <v>2250524100</v>
      </c>
      <c r="J49" s="7"/>
      <c r="K49" s="7">
        <f>K48+F49+G49+H49-I49</f>
        <v>0</v>
      </c>
      <c r="L49" s="2"/>
      <c r="M49" s="2"/>
    </row>
    <row r="50" spans="2:22" x14ac:dyDescent="0.25">
      <c r="E50" s="5">
        <v>45931</v>
      </c>
      <c r="F50" s="7"/>
      <c r="G50" s="7"/>
      <c r="H50" s="7"/>
      <c r="I50" s="7">
        <f>I29+I28</f>
        <v>342500000</v>
      </c>
      <c r="J50" s="7"/>
      <c r="K50" s="7">
        <f>K49+F50+G50+H50-I50</f>
        <v>-342500000</v>
      </c>
      <c r="L50" s="2"/>
      <c r="M50" s="2"/>
    </row>
    <row r="51" spans="2:22" x14ac:dyDescent="0.25">
      <c r="E51" s="5">
        <v>45962</v>
      </c>
      <c r="F51" s="7"/>
      <c r="G51" s="7">
        <f>SUM(M19:M28)</f>
        <v>830880470</v>
      </c>
      <c r="H51" s="7"/>
      <c r="I51" s="7">
        <f>-SUM(I19:I28)+SUM(I30:I40)</f>
        <v>2335313900</v>
      </c>
      <c r="J51" s="7">
        <v>1105000000</v>
      </c>
      <c r="K51" s="7">
        <f>K50+F51+G51+H51-I51-J51</f>
        <v>-2951933430</v>
      </c>
      <c r="L51" s="2"/>
      <c r="M51" s="2"/>
    </row>
    <row r="52" spans="2:22" x14ac:dyDescent="0.25">
      <c r="E52" s="5">
        <v>45992</v>
      </c>
      <c r="F52" s="7">
        <f>1300000000+500000000+250000000</f>
        <v>2050000000</v>
      </c>
      <c r="G52" s="7"/>
      <c r="H52" s="7"/>
      <c r="I52" s="7">
        <f>I41+I42</f>
        <v>718762500</v>
      </c>
      <c r="J52" s="7"/>
      <c r="K52" s="7">
        <f>K51+F52+G52+H52-I52-J52</f>
        <v>-1620695930</v>
      </c>
      <c r="L52" s="2"/>
      <c r="M52" s="2"/>
      <c r="P52" s="1"/>
    </row>
    <row r="53" spans="2:22" x14ac:dyDescent="0.25">
      <c r="E53" s="4"/>
      <c r="F53" s="8">
        <f>SUM(F47:F52)</f>
        <v>5501698600</v>
      </c>
      <c r="G53" s="8">
        <f>SUM(G47:G52)</f>
        <v>1235880470</v>
      </c>
      <c r="H53" s="8">
        <f t="shared" ref="H53:J53" si="33">SUM(H47:H52)</f>
        <v>0</v>
      </c>
      <c r="I53" s="8">
        <f t="shared" si="33"/>
        <v>7253275000</v>
      </c>
      <c r="J53" s="8">
        <f t="shared" si="33"/>
        <v>1105000000</v>
      </c>
      <c r="K53" s="8">
        <f>F53+G53+H53-I53-J53</f>
        <v>-1620695930</v>
      </c>
      <c r="L53" s="24"/>
      <c r="M53" s="24"/>
      <c r="P53" s="2"/>
    </row>
    <row r="54" spans="2:22" x14ac:dyDescent="0.25">
      <c r="C54" s="2"/>
      <c r="D54" s="2"/>
      <c r="E54" s="2"/>
      <c r="F54" s="2"/>
      <c r="G54" s="2"/>
      <c r="H54" s="2"/>
    </row>
    <row r="55" spans="2:22" x14ac:dyDescent="0.25">
      <c r="E55" s="167" t="s">
        <v>47</v>
      </c>
      <c r="F55" s="168">
        <f>F53</f>
        <v>5501698600</v>
      </c>
      <c r="G55" s="167"/>
      <c r="H55" s="189"/>
      <c r="I55" s="203" t="s">
        <v>148</v>
      </c>
      <c r="J55" s="190"/>
      <c r="K55" s="2"/>
    </row>
    <row r="56" spans="2:22" x14ac:dyDescent="0.25">
      <c r="E56" s="167" t="s">
        <v>8</v>
      </c>
      <c r="F56" s="168">
        <f>SUM(M12:M27)</f>
        <v>1235880470</v>
      </c>
      <c r="G56" s="167"/>
      <c r="H56" s="189"/>
      <c r="I56" s="190" t="s">
        <v>149</v>
      </c>
      <c r="J56" s="191">
        <f>F53</f>
        <v>5501698600</v>
      </c>
      <c r="K56" s="191"/>
      <c r="L56" s="2"/>
    </row>
    <row r="57" spans="2:22" x14ac:dyDescent="0.25">
      <c r="E57" s="167" t="s">
        <v>144</v>
      </c>
      <c r="F57" s="168">
        <f>-I53</f>
        <v>-7253275000</v>
      </c>
      <c r="G57" s="167" t="s">
        <v>146</v>
      </c>
      <c r="H57" s="189"/>
      <c r="I57" s="190" t="s">
        <v>8</v>
      </c>
      <c r="J57" s="192">
        <f>G53</f>
        <v>1235880470</v>
      </c>
      <c r="K57" s="192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2" x14ac:dyDescent="0.25">
      <c r="E58" s="167" t="s">
        <v>133</v>
      </c>
      <c r="F58" s="168">
        <f>-J51</f>
        <v>-1105000000</v>
      </c>
      <c r="G58" s="167"/>
      <c r="H58" s="189"/>
      <c r="I58" s="190" t="s">
        <v>35</v>
      </c>
      <c r="J58" s="204">
        <f>-J51</f>
        <v>-1105000000</v>
      </c>
      <c r="K58" s="193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2" ht="15.75" thickBot="1" x14ac:dyDescent="0.3">
      <c r="E59" s="200" t="s">
        <v>145</v>
      </c>
      <c r="F59" s="201">
        <f>F55+F56+F57+F58</f>
        <v>-1620695930</v>
      </c>
      <c r="G59" s="167"/>
      <c r="H59" s="189"/>
      <c r="I59" s="190" t="s">
        <v>48</v>
      </c>
      <c r="J59" s="204">
        <f>-I53</f>
        <v>-7253275000</v>
      </c>
      <c r="K59" s="191"/>
      <c r="U59" s="2"/>
    </row>
    <row r="60" spans="2:22" ht="16.5" thickTop="1" thickBot="1" x14ac:dyDescent="0.3">
      <c r="C60" s="1"/>
      <c r="E60" s="202"/>
      <c r="F60" s="202"/>
      <c r="G60" s="202"/>
      <c r="H60" s="190"/>
      <c r="I60" s="205" t="s">
        <v>151</v>
      </c>
      <c r="J60" s="204">
        <f>J56+J57+J58+J59</f>
        <v>-1620695930</v>
      </c>
      <c r="K60" s="189"/>
      <c r="U60" s="24"/>
    </row>
    <row r="61" spans="2:22" ht="15.75" thickTop="1" x14ac:dyDescent="0.25">
      <c r="C61" s="1"/>
      <c r="E61" s="167" t="s">
        <v>147</v>
      </c>
      <c r="F61" s="168">
        <f>SUM(I29:I40,M29:M40)</f>
        <v>7923876000</v>
      </c>
      <c r="G61" s="167" t="s">
        <v>146</v>
      </c>
      <c r="K61" s="2"/>
      <c r="U61" s="2"/>
    </row>
    <row r="62" spans="2:22" x14ac:dyDescent="0.25">
      <c r="B62" s="28"/>
      <c r="C62" s="48"/>
      <c r="E62" s="80"/>
      <c r="F62" s="2"/>
      <c r="H62" s="24"/>
      <c r="I62" s="28"/>
      <c r="K62" s="1"/>
      <c r="U62" s="2"/>
    </row>
    <row r="63" spans="2:22" x14ac:dyDescent="0.25">
      <c r="C63" s="1"/>
      <c r="K63" s="24"/>
      <c r="U63" s="24"/>
      <c r="V63" s="2"/>
    </row>
    <row r="64" spans="2:22" x14ac:dyDescent="0.25">
      <c r="B64" s="28"/>
      <c r="C64" s="24"/>
      <c r="J64" s="80"/>
    </row>
    <row r="65" spans="3:10" x14ac:dyDescent="0.25">
      <c r="J65" s="166"/>
    </row>
    <row r="66" spans="3:10" x14ac:dyDescent="0.25">
      <c r="C66" s="2"/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F10:F11"/>
    <mergeCell ref="A10:A11"/>
    <mergeCell ref="B10:B11"/>
    <mergeCell ref="C10:C11"/>
    <mergeCell ref="D10:D11"/>
    <mergeCell ref="E10:E1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7225-43F3-461F-96B3-597DDA66BD9C}">
  <sheetPr>
    <tabColor rgb="FF00B0F0"/>
  </sheetPr>
  <dimension ref="A1:AI66"/>
  <sheetViews>
    <sheetView showGridLines="0" zoomScale="85" zoomScaleNormal="85" workbookViewId="0">
      <pane xSplit="5" ySplit="11" topLeftCell="F54" activePane="bottomRight" state="frozen"/>
      <selection activeCell="N13" sqref="N13"/>
      <selection pane="topRight" activeCell="N13" sqref="N13"/>
      <selection pane="bottomLeft" activeCell="N13" sqref="N13"/>
      <selection pane="bottomRight" activeCell="L59" sqref="L59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8" width="14.28515625" bestFit="1" customWidth="1"/>
    <col min="9" max="9" width="15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customWidth="1" outlineLevel="1"/>
    <col min="15" max="15" width="4.5703125" customWidth="1" outlineLevel="1"/>
    <col min="16" max="16" width="14.28515625" customWidth="1" outlineLevel="1"/>
    <col min="17" max="17" width="4" customWidth="1" outlineLevel="1"/>
    <col min="18" max="19" width="4.5703125" customWidth="1" outlineLevel="1"/>
    <col min="20" max="20" width="29.85546875" customWidth="1" outlineLevel="1"/>
    <col min="21" max="21" width="13.85546875" bestFit="1" customWidth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27" t="s">
        <v>23</v>
      </c>
      <c r="O10" s="327"/>
      <c r="P10" s="327"/>
      <c r="Q10" s="327"/>
      <c r="R10" s="327"/>
      <c r="S10" s="327"/>
      <c r="T10" s="25"/>
      <c r="U10" s="328" t="s">
        <v>52</v>
      </c>
      <c r="V10" s="328" t="s">
        <v>34</v>
      </c>
      <c r="W10" s="331" t="s">
        <v>8</v>
      </c>
      <c r="X10" s="328" t="s">
        <v>31</v>
      </c>
      <c r="Y10" s="333" t="s">
        <v>54</v>
      </c>
      <c r="Z10" s="331" t="s">
        <v>53</v>
      </c>
      <c r="AA10" s="333" t="s">
        <v>80</v>
      </c>
      <c r="AB10" s="333" t="s">
        <v>82</v>
      </c>
      <c r="AC10" s="325" t="s">
        <v>62</v>
      </c>
      <c r="AD10" s="325" t="s">
        <v>66</v>
      </c>
      <c r="AF10" s="320" t="s">
        <v>109</v>
      </c>
      <c r="AG10" s="335" t="s">
        <v>127</v>
      </c>
      <c r="AH10" s="320" t="s">
        <v>110</v>
      </c>
    </row>
    <row r="11" spans="1:34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29"/>
      <c r="V11" s="330"/>
      <c r="W11" s="332"/>
      <c r="X11" s="330"/>
      <c r="Y11" s="334"/>
      <c r="Z11" s="332"/>
      <c r="AA11" s="334"/>
      <c r="AB11" s="334"/>
      <c r="AC11" s="325"/>
      <c r="AD11" s="325" t="s">
        <v>66</v>
      </c>
      <c r="AF11" s="320"/>
      <c r="AG11" s="335"/>
      <c r="AH11" s="320"/>
    </row>
    <row r="12" spans="1:34" s="59" customFormat="1" x14ac:dyDescent="0.25">
      <c r="A12" s="181">
        <v>1</v>
      </c>
      <c r="B12" s="181">
        <v>5200954145</v>
      </c>
      <c r="C12" s="60">
        <f>VLOOKUP($B12,Detail!$B$4:$Q$21,2,0)</f>
        <v>45839</v>
      </c>
      <c r="D12" s="53" t="s">
        <v>3</v>
      </c>
      <c r="E12" s="55">
        <f>SUMIF(Detail!$B$4:$B$21,'Summary V.4'!$B12,Detail!$E$4:$E$21)</f>
        <v>2</v>
      </c>
      <c r="F12" s="55"/>
      <c r="G12" s="55">
        <f>VLOOKUP($B12,Detail!$B$4:$Q$21,5,0)</f>
        <v>225000000</v>
      </c>
      <c r="H12" s="55">
        <f t="shared" ref="H12:H29" si="0">E12*G12</f>
        <v>450000000</v>
      </c>
      <c r="I12" s="55">
        <f>SUMIF(Detail!$B$4:$B$21,'Summary V.4'!B12,Detail!$H$4:$H$21)</f>
        <v>225000000</v>
      </c>
      <c r="J12" s="55">
        <f t="shared" ref="J12:J20" si="1">(I12*20%)/E12</f>
        <v>22500000</v>
      </c>
      <c r="K12" s="56">
        <f t="shared" ref="K12:K20" si="2">I12*20%</f>
        <v>45000000</v>
      </c>
      <c r="L12" s="56"/>
      <c r="M12" s="56">
        <f>SUM(K12:L12)</f>
        <v>45000000</v>
      </c>
      <c r="N12" s="56">
        <f>E12</f>
        <v>2</v>
      </c>
      <c r="O12" s="53"/>
      <c r="P12" s="53"/>
      <c r="Q12" s="53"/>
      <c r="R12" s="53"/>
      <c r="S12" s="53"/>
      <c r="T12" s="53"/>
      <c r="U12" s="56">
        <f t="shared" ref="U12:U40" si="3">SUM(N12:S12)</f>
        <v>2</v>
      </c>
      <c r="V12" s="56">
        <f t="shared" ref="V12:V27" si="4">E12-U12</f>
        <v>0</v>
      </c>
      <c r="W12" s="55">
        <f t="shared" ref="W12:W26" si="5">J12*U12</f>
        <v>45000000</v>
      </c>
      <c r="X12" s="56">
        <f t="shared" ref="X12:X26" si="6">K12-W12</f>
        <v>0</v>
      </c>
      <c r="Y12" s="58">
        <v>45861</v>
      </c>
      <c r="Z12" s="58">
        <v>45863</v>
      </c>
      <c r="AA12" s="58">
        <v>45894</v>
      </c>
      <c r="AB12" s="58"/>
      <c r="AC12" s="53" t="s">
        <v>63</v>
      </c>
      <c r="AD12" s="53"/>
      <c r="AF12" s="183">
        <f>VLOOKUP(B12,investasi!$B$5:$G$18,6,0)</f>
        <v>45000000</v>
      </c>
      <c r="AG12" s="184">
        <f>M12</f>
        <v>45000000</v>
      </c>
      <c r="AH12" s="184">
        <f>AF12-AG12</f>
        <v>0</v>
      </c>
    </row>
    <row r="13" spans="1:34" s="59" customFormat="1" x14ac:dyDescent="0.25">
      <c r="A13" s="181">
        <v>2</v>
      </c>
      <c r="B13" s="181">
        <v>5200954149</v>
      </c>
      <c r="C13" s="60">
        <f>VLOOKUP($B13,Detail!$B$4:$Q$21,2,0)</f>
        <v>45839</v>
      </c>
      <c r="D13" s="53" t="s">
        <v>3</v>
      </c>
      <c r="E13" s="55">
        <f>SUMIF(Detail!$B$4:$B$21,'Summary V.4'!$B13,Detail!$E$4:$E$21)</f>
        <v>3</v>
      </c>
      <c r="F13" s="55"/>
      <c r="G13" s="55">
        <f>VLOOKUP($B13,Detail!$B$4:$Q$21,5,0)</f>
        <v>225000000</v>
      </c>
      <c r="H13" s="55">
        <f t="shared" si="0"/>
        <v>675000000</v>
      </c>
      <c r="I13" s="55">
        <f>SUMIF(Detail!$B$4:$B$21,'Summary V.4'!B13,Detail!$H$4:$H$21)</f>
        <v>337500000</v>
      </c>
      <c r="J13" s="55">
        <f t="shared" si="1"/>
        <v>22500000</v>
      </c>
      <c r="K13" s="56">
        <f t="shared" si="2"/>
        <v>67500000</v>
      </c>
      <c r="L13" s="56"/>
      <c r="M13" s="56">
        <f t="shared" ref="M13:M18" si="7">SUM(K13:L13)</f>
        <v>67500000</v>
      </c>
      <c r="N13" s="56">
        <f>E13</f>
        <v>3</v>
      </c>
      <c r="O13" s="53"/>
      <c r="P13" s="53"/>
      <c r="Q13" s="53"/>
      <c r="R13" s="53"/>
      <c r="S13" s="53"/>
      <c r="T13" s="53"/>
      <c r="U13" s="56">
        <f t="shared" si="3"/>
        <v>3</v>
      </c>
      <c r="V13" s="56">
        <f t="shared" si="4"/>
        <v>0</v>
      </c>
      <c r="W13" s="55">
        <f t="shared" si="5"/>
        <v>67500000</v>
      </c>
      <c r="X13" s="56">
        <f t="shared" si="6"/>
        <v>0</v>
      </c>
      <c r="Y13" s="58">
        <v>45861</v>
      </c>
      <c r="Z13" s="58">
        <v>45863</v>
      </c>
      <c r="AA13" s="58">
        <v>45894</v>
      </c>
      <c r="AB13" s="58"/>
      <c r="AC13" s="53" t="s">
        <v>63</v>
      </c>
      <c r="AD13" s="53"/>
      <c r="AF13" s="183">
        <f>VLOOKUP(B13,investasi!$B$5:$G$18,6,0)</f>
        <v>67500000</v>
      </c>
      <c r="AG13" s="184">
        <f t="shared" ref="AG13:AG29" si="8">M13</f>
        <v>67500000</v>
      </c>
      <c r="AH13" s="184">
        <f t="shared" ref="AH13:AH29" si="9">AF13-AG13</f>
        <v>0</v>
      </c>
    </row>
    <row r="14" spans="1:34" s="59" customFormat="1" x14ac:dyDescent="0.25">
      <c r="A14" s="181">
        <v>3</v>
      </c>
      <c r="B14" s="181">
        <v>5200954160</v>
      </c>
      <c r="C14" s="60">
        <f>VLOOKUP($B14,Detail!$B$4:$Q$21,2,0)</f>
        <v>45839</v>
      </c>
      <c r="D14" s="53" t="s">
        <v>3</v>
      </c>
      <c r="E14" s="55">
        <f>SUMIF(Detail!$B$4:$B$21,'Summary V.4'!$B14,Detail!$E$4:$E$21)</f>
        <v>3</v>
      </c>
      <c r="F14" s="55"/>
      <c r="G14" s="55">
        <f>VLOOKUP($B14,Detail!$B$4:$Q$21,5,0)</f>
        <v>225000000</v>
      </c>
      <c r="H14" s="55">
        <f t="shared" si="0"/>
        <v>675000000</v>
      </c>
      <c r="I14" s="55">
        <f>SUMIF(Detail!$B$4:$B$21,'Summary V.4'!B14,Detail!$H$4:$H$21)</f>
        <v>337500000</v>
      </c>
      <c r="J14" s="55">
        <f t="shared" si="1"/>
        <v>22500000</v>
      </c>
      <c r="K14" s="56">
        <f t="shared" si="2"/>
        <v>67500000</v>
      </c>
      <c r="L14" s="56"/>
      <c r="M14" s="56">
        <f t="shared" si="7"/>
        <v>67500000</v>
      </c>
      <c r="N14" s="56">
        <f>E14</f>
        <v>3</v>
      </c>
      <c r="O14" s="53"/>
      <c r="P14" s="53"/>
      <c r="Q14" s="53"/>
      <c r="R14" s="53"/>
      <c r="S14" s="53"/>
      <c r="T14" s="53"/>
      <c r="U14" s="56">
        <f t="shared" si="3"/>
        <v>3</v>
      </c>
      <c r="V14" s="56">
        <f t="shared" si="4"/>
        <v>0</v>
      </c>
      <c r="W14" s="55">
        <f t="shared" si="5"/>
        <v>67500000</v>
      </c>
      <c r="X14" s="56">
        <f t="shared" si="6"/>
        <v>0</v>
      </c>
      <c r="Y14" s="58">
        <v>45861</v>
      </c>
      <c r="Z14" s="58">
        <v>45863</v>
      </c>
      <c r="AA14" s="58">
        <v>45894</v>
      </c>
      <c r="AB14" s="58"/>
      <c r="AC14" s="53" t="s">
        <v>63</v>
      </c>
      <c r="AD14" s="53"/>
      <c r="AF14" s="183">
        <f>VLOOKUP(B14,investasi!$B$5:$G$18,6,0)</f>
        <v>67500000</v>
      </c>
      <c r="AG14" s="184">
        <f t="shared" si="8"/>
        <v>67500000</v>
      </c>
      <c r="AH14" s="184">
        <f t="shared" si="9"/>
        <v>0</v>
      </c>
    </row>
    <row r="15" spans="1:34" s="59" customFormat="1" x14ac:dyDescent="0.25">
      <c r="A15" s="181">
        <v>4</v>
      </c>
      <c r="B15" s="181">
        <v>5200954165</v>
      </c>
      <c r="C15" s="60">
        <f>VLOOKUP($B15,Detail!$B$4:$Q$21,2,0)</f>
        <v>45870</v>
      </c>
      <c r="D15" s="53" t="s">
        <v>3</v>
      </c>
      <c r="E15" s="55">
        <f>SUMIF(Detail!$B$4:$B$21,'Summary V.4'!$B15,Detail!$E$4:$E$21)</f>
        <v>3</v>
      </c>
      <c r="F15" s="55"/>
      <c r="G15" s="55">
        <f>VLOOKUP($B15,Detail!$B$4:$Q$21,5,0)</f>
        <v>225000000</v>
      </c>
      <c r="H15" s="55">
        <f t="shared" si="0"/>
        <v>675000000</v>
      </c>
      <c r="I15" s="55">
        <f>SUMIF(Detail!$B$4:$B$21,'Summary V.4'!B15,Detail!$H$4:$H$21)</f>
        <v>337500000</v>
      </c>
      <c r="J15" s="55">
        <f t="shared" si="1"/>
        <v>22500000</v>
      </c>
      <c r="K15" s="56">
        <f t="shared" si="2"/>
        <v>67500000</v>
      </c>
      <c r="L15" s="56"/>
      <c r="M15" s="56">
        <f t="shared" si="7"/>
        <v>67500000</v>
      </c>
      <c r="N15" s="53"/>
      <c r="O15" s="56">
        <f>E15</f>
        <v>3</v>
      </c>
      <c r="P15" s="53"/>
      <c r="Q15" s="53"/>
      <c r="R15" s="53"/>
      <c r="S15" s="53"/>
      <c r="T15" s="53"/>
      <c r="U15" s="56">
        <f t="shared" si="3"/>
        <v>3</v>
      </c>
      <c r="V15" s="56">
        <f t="shared" si="4"/>
        <v>0</v>
      </c>
      <c r="W15" s="55">
        <f t="shared" si="5"/>
        <v>67500000</v>
      </c>
      <c r="X15" s="56">
        <f t="shared" si="6"/>
        <v>0</v>
      </c>
      <c r="Y15" s="58">
        <v>45868</v>
      </c>
      <c r="Z15" s="58">
        <v>45873</v>
      </c>
      <c r="AA15" s="58">
        <v>45904</v>
      </c>
      <c r="AB15" s="58"/>
      <c r="AC15" s="53" t="s">
        <v>63</v>
      </c>
      <c r="AD15" s="53"/>
      <c r="AF15" s="183">
        <f>VLOOKUP(B15,investasi!$B$5:$G$18,6,0)</f>
        <v>67500000</v>
      </c>
      <c r="AG15" s="184">
        <f t="shared" si="8"/>
        <v>67500000</v>
      </c>
      <c r="AH15" s="184">
        <f t="shared" si="9"/>
        <v>0</v>
      </c>
    </row>
    <row r="16" spans="1:34" s="59" customFormat="1" x14ac:dyDescent="0.25">
      <c r="A16" s="181">
        <v>5</v>
      </c>
      <c r="B16" s="181">
        <v>5200954167</v>
      </c>
      <c r="C16" s="60">
        <f>VLOOKUP($B16,Detail!$B$4:$Q$21,2,0)</f>
        <v>45870</v>
      </c>
      <c r="D16" s="53" t="s">
        <v>3</v>
      </c>
      <c r="E16" s="55">
        <f>SUMIF(Detail!$B$4:$B$21,'Summary V.4'!$B16,Detail!$E$4:$E$21)</f>
        <v>3</v>
      </c>
      <c r="F16" s="55"/>
      <c r="G16" s="55">
        <f>VLOOKUP($B16,Detail!$B$4:$Q$21,5,0)</f>
        <v>225000000</v>
      </c>
      <c r="H16" s="55">
        <f t="shared" si="0"/>
        <v>675000000</v>
      </c>
      <c r="I16" s="55">
        <f>SUMIF(Detail!$B$4:$B$21,'Summary V.4'!B16,Detail!$H$4:$H$21)</f>
        <v>337500000</v>
      </c>
      <c r="J16" s="55">
        <f t="shared" si="1"/>
        <v>22500000</v>
      </c>
      <c r="K16" s="56">
        <f t="shared" si="2"/>
        <v>67500000</v>
      </c>
      <c r="L16" s="56"/>
      <c r="M16" s="56">
        <f t="shared" si="7"/>
        <v>67500000</v>
      </c>
      <c r="N16" s="53"/>
      <c r="O16" s="56">
        <f>E16</f>
        <v>3</v>
      </c>
      <c r="P16" s="53"/>
      <c r="Q16" s="53"/>
      <c r="R16" s="53"/>
      <c r="S16" s="53"/>
      <c r="T16" s="53"/>
      <c r="U16" s="56">
        <f t="shared" si="3"/>
        <v>3</v>
      </c>
      <c r="V16" s="56">
        <f t="shared" si="4"/>
        <v>0</v>
      </c>
      <c r="W16" s="55">
        <f t="shared" si="5"/>
        <v>67500000</v>
      </c>
      <c r="X16" s="56">
        <f t="shared" si="6"/>
        <v>0</v>
      </c>
      <c r="Y16" s="58">
        <v>45868</v>
      </c>
      <c r="Z16" s="58">
        <v>45873</v>
      </c>
      <c r="AA16" s="58">
        <v>45904</v>
      </c>
      <c r="AB16" s="58"/>
      <c r="AC16" s="53" t="s">
        <v>63</v>
      </c>
      <c r="AD16" s="53"/>
      <c r="AF16" s="183">
        <f>VLOOKUP(B16,investasi!$B$5:$G$18,6,0)</f>
        <v>67500000</v>
      </c>
      <c r="AG16" s="184">
        <f t="shared" si="8"/>
        <v>67500000</v>
      </c>
      <c r="AH16" s="184">
        <f t="shared" si="9"/>
        <v>0</v>
      </c>
    </row>
    <row r="17" spans="1:35" s="59" customFormat="1" x14ac:dyDescent="0.25">
      <c r="A17" s="181">
        <v>6</v>
      </c>
      <c r="B17" s="181">
        <v>5200954168</v>
      </c>
      <c r="C17" s="60">
        <f>VLOOKUP($B17,Detail!$B$4:$Q$21,2,0)</f>
        <v>45870</v>
      </c>
      <c r="D17" s="53" t="s">
        <v>3</v>
      </c>
      <c r="E17" s="55">
        <f>SUMIF(Detail!$B$4:$B$21,'Summary V.4'!$B17,Detail!$E$4:$E$21)</f>
        <v>2</v>
      </c>
      <c r="F17" s="55"/>
      <c r="G17" s="55">
        <f>VLOOKUP($B17,Detail!$B$4:$Q$21,5,0)</f>
        <v>225000000</v>
      </c>
      <c r="H17" s="55">
        <f t="shared" si="0"/>
        <v>450000000</v>
      </c>
      <c r="I17" s="55">
        <f>SUMIF(Detail!$B$4:$B$21,'Summary V.4'!B17,Detail!$H$4:$H$21)</f>
        <v>225000000</v>
      </c>
      <c r="J17" s="55">
        <f t="shared" si="1"/>
        <v>22500000</v>
      </c>
      <c r="K17" s="56">
        <f t="shared" si="2"/>
        <v>45000000</v>
      </c>
      <c r="L17" s="56"/>
      <c r="M17" s="56">
        <f t="shared" si="7"/>
        <v>45000000</v>
      </c>
      <c r="N17" s="53"/>
      <c r="O17" s="56">
        <f>E17</f>
        <v>2</v>
      </c>
      <c r="P17" s="53"/>
      <c r="Q17" s="53"/>
      <c r="R17" s="53"/>
      <c r="S17" s="53"/>
      <c r="T17" s="53"/>
      <c r="U17" s="56">
        <f t="shared" si="3"/>
        <v>2</v>
      </c>
      <c r="V17" s="56">
        <f t="shared" si="4"/>
        <v>0</v>
      </c>
      <c r="W17" s="55">
        <f t="shared" si="5"/>
        <v>45000000</v>
      </c>
      <c r="X17" s="56">
        <f t="shared" si="6"/>
        <v>0</v>
      </c>
      <c r="Y17" s="58">
        <v>45868</v>
      </c>
      <c r="Z17" s="58">
        <v>45873</v>
      </c>
      <c r="AA17" s="58">
        <v>45904</v>
      </c>
      <c r="AB17" s="58"/>
      <c r="AC17" s="53" t="s">
        <v>63</v>
      </c>
      <c r="AD17" s="53"/>
      <c r="AF17" s="183">
        <f>VLOOKUP(B17,investasi!$B$5:$G$18,6,0)</f>
        <v>45000000</v>
      </c>
      <c r="AG17" s="184">
        <f t="shared" si="8"/>
        <v>45000000</v>
      </c>
      <c r="AH17" s="184">
        <f t="shared" si="9"/>
        <v>0</v>
      </c>
    </row>
    <row r="18" spans="1:35" s="59" customFormat="1" x14ac:dyDescent="0.25">
      <c r="A18" s="181">
        <v>7</v>
      </c>
      <c r="B18" s="181">
        <v>5200954169</v>
      </c>
      <c r="C18" s="60">
        <f>VLOOKUP($B18,Detail!$B$4:$Q$21,2,0)</f>
        <v>45870</v>
      </c>
      <c r="D18" s="53" t="s">
        <v>3</v>
      </c>
      <c r="E18" s="55">
        <f>SUMIF(Detail!$B$4:$B$21,'Summary V.4'!$B18,Detail!$E$4:$E$21)</f>
        <v>2</v>
      </c>
      <c r="F18" s="55"/>
      <c r="G18" s="55">
        <f>VLOOKUP($B18,Detail!$B$4:$Q$21,5,0)</f>
        <v>225000000</v>
      </c>
      <c r="H18" s="55">
        <f t="shared" si="0"/>
        <v>450000000</v>
      </c>
      <c r="I18" s="55">
        <f>SUMIF(Detail!$B$4:$B$21,'Summary V.4'!B18,Detail!$H$4:$H$21)</f>
        <v>225000000</v>
      </c>
      <c r="J18" s="55">
        <f t="shared" si="1"/>
        <v>22500000</v>
      </c>
      <c r="K18" s="56">
        <f t="shared" si="2"/>
        <v>45000000</v>
      </c>
      <c r="L18" s="56"/>
      <c r="M18" s="56">
        <f t="shared" si="7"/>
        <v>45000000</v>
      </c>
      <c r="N18" s="53"/>
      <c r="O18" s="56">
        <f>E18</f>
        <v>2</v>
      </c>
      <c r="P18" s="53"/>
      <c r="Q18" s="53"/>
      <c r="R18" s="53"/>
      <c r="S18" s="53"/>
      <c r="T18" s="53"/>
      <c r="U18" s="56">
        <f t="shared" si="3"/>
        <v>2</v>
      </c>
      <c r="V18" s="56">
        <f t="shared" si="4"/>
        <v>0</v>
      </c>
      <c r="W18" s="55">
        <f t="shared" si="5"/>
        <v>45000000</v>
      </c>
      <c r="X18" s="56">
        <f t="shared" si="6"/>
        <v>0</v>
      </c>
      <c r="Y18" s="58">
        <v>45868</v>
      </c>
      <c r="Z18" s="58">
        <v>45873</v>
      </c>
      <c r="AA18" s="58">
        <v>45904</v>
      </c>
      <c r="AB18" s="58"/>
      <c r="AC18" s="53" t="s">
        <v>63</v>
      </c>
      <c r="AD18" s="53"/>
      <c r="AF18" s="183">
        <f>VLOOKUP(B18,investasi!$B$5:$G$18,6,0)</f>
        <v>45000000</v>
      </c>
      <c r="AG18" s="184">
        <f t="shared" si="8"/>
        <v>45000000</v>
      </c>
      <c r="AH18" s="184">
        <f t="shared" si="9"/>
        <v>0</v>
      </c>
    </row>
    <row r="19" spans="1:35" s="59" customFormat="1" x14ac:dyDescent="0.25">
      <c r="A19" s="181">
        <v>8</v>
      </c>
      <c r="B19" s="181">
        <v>5200777098</v>
      </c>
      <c r="C19" s="60">
        <f>VLOOKUP($B19,Detail!$B$4:$Q$25,2,0)</f>
        <v>45877</v>
      </c>
      <c r="D19" s="53" t="s">
        <v>44</v>
      </c>
      <c r="E19" s="55">
        <f>SUMIF(Detail!$B$4:$B$25,'Summary V.4'!$B19,Detail!$E$4:$E$25)</f>
        <v>1</v>
      </c>
      <c r="F19" s="55"/>
      <c r="G19" s="55">
        <f>VLOOKUP($B19,Detail!$B$4:$Q$25,5,0)</f>
        <v>1149199000</v>
      </c>
      <c r="H19" s="55">
        <f t="shared" si="0"/>
        <v>1149199000</v>
      </c>
      <c r="I19" s="55">
        <f>SUMIF(Detail!$B$4:$B$25,'Summary V.4'!B19,Detail!$H$4:$H$25)</f>
        <v>574599500</v>
      </c>
      <c r="J19" s="55">
        <f t="shared" si="1"/>
        <v>114919900</v>
      </c>
      <c r="K19" s="56">
        <f t="shared" si="2"/>
        <v>114919900</v>
      </c>
      <c r="L19" s="56"/>
      <c r="M19" s="56">
        <f>SUM(K19:L19)</f>
        <v>114919900</v>
      </c>
      <c r="N19" s="53"/>
      <c r="O19" s="56">
        <v>0</v>
      </c>
      <c r="P19" s="53">
        <v>1</v>
      </c>
      <c r="Q19" s="53"/>
      <c r="R19" s="53"/>
      <c r="S19" s="53"/>
      <c r="T19" s="53"/>
      <c r="U19" s="56">
        <f t="shared" si="3"/>
        <v>1</v>
      </c>
      <c r="V19" s="56">
        <f t="shared" si="4"/>
        <v>0</v>
      </c>
      <c r="W19" s="55">
        <f t="shared" si="5"/>
        <v>114919900</v>
      </c>
      <c r="X19" s="56">
        <f t="shared" si="6"/>
        <v>0</v>
      </c>
      <c r="Y19" s="58">
        <v>45930</v>
      </c>
      <c r="Z19" s="58">
        <f>Y19+7</f>
        <v>45937</v>
      </c>
      <c r="AA19" s="58">
        <f>Z19+30</f>
        <v>45967</v>
      </c>
      <c r="AB19" s="58">
        <f>Z19+60</f>
        <v>45997</v>
      </c>
      <c r="AC19" s="53" t="s">
        <v>63</v>
      </c>
      <c r="AD19" s="53"/>
      <c r="AF19" s="183">
        <f>VLOOKUP(B19,investasi!$B$5:$G$18,6,0)</f>
        <v>57248700</v>
      </c>
      <c r="AG19" s="184">
        <f t="shared" si="8"/>
        <v>114919900</v>
      </c>
      <c r="AH19" s="184">
        <f t="shared" si="9"/>
        <v>-57671200</v>
      </c>
      <c r="AI19" s="59" t="s">
        <v>128</v>
      </c>
    </row>
    <row r="20" spans="1:35" s="59" customFormat="1" x14ac:dyDescent="0.25">
      <c r="A20" s="181">
        <v>9</v>
      </c>
      <c r="B20" s="181">
        <v>5200776987</v>
      </c>
      <c r="C20" s="60">
        <f>VLOOKUP($B20,Detail!$B$4:$Q$25,2,0)</f>
        <v>45877</v>
      </c>
      <c r="D20" s="53" t="s">
        <v>3</v>
      </c>
      <c r="E20" s="55">
        <f>SUMIF(Detail!$B$4:$B$25,'Summary V.4'!$B20,Detail!$E$4:$E$25)</f>
        <v>2</v>
      </c>
      <c r="F20" s="55"/>
      <c r="G20" s="55">
        <f>VLOOKUP($B20,Detail!$B$4:$Q$25,5,0)</f>
        <v>225000000</v>
      </c>
      <c r="H20" s="55">
        <f t="shared" si="0"/>
        <v>450000000</v>
      </c>
      <c r="I20" s="55">
        <f>SUMIF(Detail!$B$4:$B$25,'Summary V.4'!B20,Detail!$H$4:$H$25)</f>
        <v>225000000</v>
      </c>
      <c r="J20" s="55">
        <f t="shared" si="1"/>
        <v>22500000</v>
      </c>
      <c r="K20" s="56">
        <f t="shared" si="2"/>
        <v>45000000</v>
      </c>
      <c r="L20" s="56"/>
      <c r="M20" s="56">
        <f t="shared" ref="M20:M34" si="10">SUM(K20:L20)</f>
        <v>45000000</v>
      </c>
      <c r="N20" s="53"/>
      <c r="O20" s="56">
        <v>0</v>
      </c>
      <c r="P20" s="53">
        <v>2</v>
      </c>
      <c r="Q20" s="53"/>
      <c r="R20" s="53"/>
      <c r="S20" s="53"/>
      <c r="T20" s="53"/>
      <c r="U20" s="56">
        <f t="shared" si="3"/>
        <v>2</v>
      </c>
      <c r="V20" s="56">
        <f t="shared" si="4"/>
        <v>0</v>
      </c>
      <c r="W20" s="55">
        <f t="shared" si="5"/>
        <v>45000000</v>
      </c>
      <c r="X20" s="56">
        <f t="shared" si="6"/>
        <v>0</v>
      </c>
      <c r="Y20" s="58">
        <v>45923</v>
      </c>
      <c r="Z20" s="58">
        <f t="shared" ref="Z20:Z27" si="11">Y20+7</f>
        <v>45930</v>
      </c>
      <c r="AA20" s="58">
        <f t="shared" ref="AA20:AA27" si="12">Z20+30</f>
        <v>45960</v>
      </c>
      <c r="AB20" s="58">
        <f t="shared" ref="AB20:AB27" si="13">Z20+60</f>
        <v>45990</v>
      </c>
      <c r="AC20" s="53" t="s">
        <v>63</v>
      </c>
      <c r="AD20" s="53"/>
      <c r="AF20" s="183">
        <f>VLOOKUP(B20,investasi!$B$5:$G$18,6,0)</f>
        <v>45000000</v>
      </c>
      <c r="AG20" s="184">
        <f t="shared" si="8"/>
        <v>45000000</v>
      </c>
      <c r="AH20" s="184">
        <f t="shared" si="9"/>
        <v>0</v>
      </c>
    </row>
    <row r="21" spans="1:35" s="59" customFormat="1" x14ac:dyDescent="0.25">
      <c r="A21" s="181">
        <v>10</v>
      </c>
      <c r="B21" s="181">
        <v>5200777132</v>
      </c>
      <c r="C21" s="60">
        <f>VLOOKUP($B21,Detail!$B$4:$Q$110,2,0)</f>
        <v>45880</v>
      </c>
      <c r="D21" s="53" t="s">
        <v>50</v>
      </c>
      <c r="E21" s="55">
        <v>20</v>
      </c>
      <c r="F21" s="55"/>
      <c r="G21" s="55">
        <f>VLOOKUP($B21,Detail!$B$4:$Q$25,5,0)</f>
        <v>40457500</v>
      </c>
      <c r="H21" s="55">
        <f t="shared" si="0"/>
        <v>809150000</v>
      </c>
      <c r="I21" s="55">
        <f t="shared" ref="I21:I34" si="14">H21*50%</f>
        <v>404575000</v>
      </c>
      <c r="J21" s="55">
        <f>(I21*13%)/E21</f>
        <v>2629737.5</v>
      </c>
      <c r="K21" s="56">
        <f>I21*13%</f>
        <v>52594750</v>
      </c>
      <c r="L21" s="56"/>
      <c r="M21" s="56">
        <f t="shared" si="10"/>
        <v>52594750</v>
      </c>
      <c r="N21" s="53"/>
      <c r="O21" s="56">
        <v>0</v>
      </c>
      <c r="P21" s="53"/>
      <c r="Q21" s="53">
        <v>20</v>
      </c>
      <c r="R21" s="53"/>
      <c r="S21" s="53"/>
      <c r="T21" s="53"/>
      <c r="U21" s="56">
        <f t="shared" si="3"/>
        <v>20</v>
      </c>
      <c r="V21" s="56">
        <f t="shared" si="4"/>
        <v>0</v>
      </c>
      <c r="W21" s="55">
        <f t="shared" si="5"/>
        <v>52594750</v>
      </c>
      <c r="X21" s="56">
        <f t="shared" si="6"/>
        <v>0</v>
      </c>
      <c r="Y21" s="58">
        <v>45922</v>
      </c>
      <c r="Z21" s="58">
        <f t="shared" si="11"/>
        <v>45929</v>
      </c>
      <c r="AA21" s="58">
        <f t="shared" si="12"/>
        <v>45959</v>
      </c>
      <c r="AB21" s="58">
        <f t="shared" si="13"/>
        <v>45989</v>
      </c>
      <c r="AC21" s="53" t="s">
        <v>63</v>
      </c>
      <c r="AD21" s="53"/>
      <c r="AF21" s="183">
        <f>VLOOKUP(B21,investasi!$B$5:$G$18,6,0)</f>
        <v>52594750</v>
      </c>
      <c r="AG21" s="184">
        <f t="shared" si="8"/>
        <v>52594750</v>
      </c>
      <c r="AH21" s="184">
        <f t="shared" si="9"/>
        <v>0</v>
      </c>
    </row>
    <row r="22" spans="1:35" s="59" customFormat="1" x14ac:dyDescent="0.25">
      <c r="A22" s="181">
        <v>11</v>
      </c>
      <c r="B22" s="181">
        <f>Detail!$B$45</f>
        <v>5200972695</v>
      </c>
      <c r="C22" s="60">
        <f>Detail!$C$45</f>
        <v>45891</v>
      </c>
      <c r="D22" s="53" t="s">
        <v>56</v>
      </c>
      <c r="E22" s="55">
        <v>8</v>
      </c>
      <c r="F22" s="55">
        <v>75000000</v>
      </c>
      <c r="G22" s="55">
        <v>100500000</v>
      </c>
      <c r="H22" s="55">
        <f t="shared" si="0"/>
        <v>804000000</v>
      </c>
      <c r="I22" s="55">
        <f t="shared" si="14"/>
        <v>402000000</v>
      </c>
      <c r="J22" s="55">
        <v>12750000</v>
      </c>
      <c r="K22" s="56">
        <f>E22*J22</f>
        <v>102000000</v>
      </c>
      <c r="L22" s="56"/>
      <c r="M22" s="56">
        <f t="shared" si="10"/>
        <v>102000000</v>
      </c>
      <c r="N22" s="53"/>
      <c r="O22" s="56">
        <v>0</v>
      </c>
      <c r="P22" s="53">
        <v>8</v>
      </c>
      <c r="Q22" s="53"/>
      <c r="R22" s="53"/>
      <c r="S22" s="53"/>
      <c r="T22" s="53" t="s">
        <v>58</v>
      </c>
      <c r="U22" s="56">
        <f t="shared" si="3"/>
        <v>8</v>
      </c>
      <c r="V22" s="56">
        <f t="shared" si="4"/>
        <v>0</v>
      </c>
      <c r="W22" s="55">
        <f t="shared" si="5"/>
        <v>102000000</v>
      </c>
      <c r="X22" s="56">
        <f t="shared" si="6"/>
        <v>0</v>
      </c>
      <c r="Y22" s="58">
        <v>45925</v>
      </c>
      <c r="Z22" s="182">
        <f t="shared" si="11"/>
        <v>45932</v>
      </c>
      <c r="AA22" s="182">
        <f t="shared" si="12"/>
        <v>45962</v>
      </c>
      <c r="AB22" s="58">
        <f t="shared" si="13"/>
        <v>45992</v>
      </c>
      <c r="AC22" s="53" t="s">
        <v>63</v>
      </c>
      <c r="AD22" s="53"/>
      <c r="AF22" s="183">
        <f>VLOOKUP(B22,investasi!$B$5:$G$18,6,0)</f>
        <v>80400000</v>
      </c>
      <c r="AG22" s="184">
        <f t="shared" si="8"/>
        <v>102000000</v>
      </c>
      <c r="AH22" s="184">
        <f t="shared" si="9"/>
        <v>-21600000</v>
      </c>
      <c r="AI22" s="59" t="s">
        <v>113</v>
      </c>
    </row>
    <row r="23" spans="1:35" s="59" customFormat="1" x14ac:dyDescent="0.25">
      <c r="A23" s="181">
        <v>12</v>
      </c>
      <c r="B23" s="181">
        <f>Detail!B53</f>
        <v>5200777558</v>
      </c>
      <c r="C23" s="60">
        <v>45901</v>
      </c>
      <c r="D23" s="59" t="s">
        <v>61</v>
      </c>
      <c r="E23" s="55">
        <v>1</v>
      </c>
      <c r="F23" s="55"/>
      <c r="G23" s="55">
        <f>Detail!F53</f>
        <v>685000000</v>
      </c>
      <c r="H23" s="55">
        <f t="shared" si="0"/>
        <v>685000000</v>
      </c>
      <c r="I23" s="55">
        <f t="shared" si="14"/>
        <v>342500000</v>
      </c>
      <c r="J23" s="55">
        <f t="shared" ref="J23:J33" si="15">(I23*20%)/E23</f>
        <v>68500000</v>
      </c>
      <c r="K23" s="56">
        <f t="shared" ref="K23:K26" si="16">I23*20%</f>
        <v>68500000</v>
      </c>
      <c r="L23" s="56"/>
      <c r="M23" s="56">
        <f t="shared" si="10"/>
        <v>68500000</v>
      </c>
      <c r="N23" s="53"/>
      <c r="O23" s="56"/>
      <c r="P23" s="53">
        <v>1</v>
      </c>
      <c r="Q23" s="53"/>
      <c r="R23" s="53"/>
      <c r="S23" s="53"/>
      <c r="T23" s="53"/>
      <c r="U23" s="56">
        <f t="shared" si="3"/>
        <v>1</v>
      </c>
      <c r="V23" s="56">
        <f t="shared" si="4"/>
        <v>0</v>
      </c>
      <c r="W23" s="55">
        <f t="shared" si="5"/>
        <v>68500000</v>
      </c>
      <c r="X23" s="56">
        <f t="shared" si="6"/>
        <v>0</v>
      </c>
      <c r="Y23" s="58">
        <v>45923</v>
      </c>
      <c r="Z23" s="182">
        <f t="shared" si="11"/>
        <v>45930</v>
      </c>
      <c r="AA23" s="182">
        <f t="shared" si="12"/>
        <v>45960</v>
      </c>
      <c r="AB23" s="58">
        <f t="shared" si="13"/>
        <v>45990</v>
      </c>
      <c r="AC23" s="53" t="s">
        <v>63</v>
      </c>
      <c r="AD23" s="53"/>
      <c r="AF23" s="183">
        <f>VLOOKUP(B23,investasi!$B$5:$G$18,6,0)</f>
        <v>68500000</v>
      </c>
      <c r="AG23" s="184">
        <f t="shared" si="8"/>
        <v>68500000</v>
      </c>
      <c r="AH23" s="184">
        <f t="shared" si="9"/>
        <v>0</v>
      </c>
    </row>
    <row r="24" spans="1:35" s="59" customFormat="1" x14ac:dyDescent="0.25">
      <c r="A24" s="181">
        <v>13</v>
      </c>
      <c r="B24" s="181">
        <f>Detail!B54</f>
        <v>5200777559</v>
      </c>
      <c r="C24" s="60">
        <v>45901</v>
      </c>
      <c r="D24" s="53" t="s">
        <v>3</v>
      </c>
      <c r="E24" s="55">
        <v>2</v>
      </c>
      <c r="F24" s="55"/>
      <c r="G24" s="55">
        <f>Detail!F54</f>
        <v>225000000</v>
      </c>
      <c r="H24" s="55">
        <f t="shared" si="0"/>
        <v>450000000</v>
      </c>
      <c r="I24" s="55">
        <f t="shared" si="14"/>
        <v>225000000</v>
      </c>
      <c r="J24" s="55">
        <f t="shared" si="15"/>
        <v>22500000</v>
      </c>
      <c r="K24" s="56">
        <f t="shared" si="16"/>
        <v>45000000</v>
      </c>
      <c r="L24" s="56"/>
      <c r="M24" s="56">
        <f t="shared" si="10"/>
        <v>45000000</v>
      </c>
      <c r="N24" s="53"/>
      <c r="O24" s="56"/>
      <c r="P24" s="53">
        <v>2</v>
      </c>
      <c r="Q24" s="53"/>
      <c r="R24" s="53"/>
      <c r="S24" s="53"/>
      <c r="T24" s="53"/>
      <c r="U24" s="56">
        <f t="shared" si="3"/>
        <v>2</v>
      </c>
      <c r="V24" s="56">
        <f t="shared" si="4"/>
        <v>0</v>
      </c>
      <c r="W24" s="55">
        <f t="shared" si="5"/>
        <v>45000000</v>
      </c>
      <c r="X24" s="56">
        <f t="shared" si="6"/>
        <v>0</v>
      </c>
      <c r="Y24" s="182">
        <v>45925</v>
      </c>
      <c r="Z24" s="182">
        <f t="shared" si="11"/>
        <v>45932</v>
      </c>
      <c r="AA24" s="182">
        <f t="shared" si="12"/>
        <v>45962</v>
      </c>
      <c r="AB24" s="58">
        <f t="shared" si="13"/>
        <v>45992</v>
      </c>
      <c r="AC24" s="53" t="s">
        <v>63</v>
      </c>
      <c r="AD24" s="55"/>
      <c r="AF24" s="183">
        <f>VLOOKUP(B24,investasi!$B$5:$G$18,6,0)</f>
        <v>45000000</v>
      </c>
      <c r="AG24" s="184">
        <f t="shared" si="8"/>
        <v>45000000</v>
      </c>
      <c r="AH24" s="184">
        <f t="shared" si="9"/>
        <v>0</v>
      </c>
    </row>
    <row r="25" spans="1:35" s="59" customFormat="1" x14ac:dyDescent="0.25">
      <c r="A25" s="181">
        <v>14</v>
      </c>
      <c r="B25" s="181">
        <f>Detail!$B$56</f>
        <v>5200777758</v>
      </c>
      <c r="C25" s="60">
        <v>45909</v>
      </c>
      <c r="D25" s="53" t="s">
        <v>64</v>
      </c>
      <c r="E25" s="55">
        <v>1</v>
      </c>
      <c r="F25" s="55"/>
      <c r="G25" s="55">
        <f>Detail!F56</f>
        <v>2231048200</v>
      </c>
      <c r="H25" s="55">
        <f t="shared" si="0"/>
        <v>2231048200</v>
      </c>
      <c r="I25" s="55">
        <f t="shared" si="14"/>
        <v>1115524100</v>
      </c>
      <c r="J25" s="55">
        <f t="shared" si="15"/>
        <v>223104820</v>
      </c>
      <c r="K25" s="56">
        <f t="shared" si="16"/>
        <v>223104820</v>
      </c>
      <c r="L25" s="56"/>
      <c r="M25" s="56">
        <f t="shared" si="10"/>
        <v>223104820</v>
      </c>
      <c r="N25" s="53"/>
      <c r="O25" s="56"/>
      <c r="P25" s="53">
        <v>1</v>
      </c>
      <c r="Q25" s="53"/>
      <c r="R25" s="53"/>
      <c r="S25" s="53"/>
      <c r="T25" s="53"/>
      <c r="U25" s="56">
        <f t="shared" si="3"/>
        <v>1</v>
      </c>
      <c r="V25" s="56">
        <f t="shared" si="4"/>
        <v>0</v>
      </c>
      <c r="W25" s="55">
        <f t="shared" si="5"/>
        <v>223104820</v>
      </c>
      <c r="X25" s="56">
        <f t="shared" si="6"/>
        <v>0</v>
      </c>
      <c r="Y25" s="182">
        <v>45930</v>
      </c>
      <c r="Z25" s="182">
        <f t="shared" si="11"/>
        <v>45937</v>
      </c>
      <c r="AA25" s="182">
        <f t="shared" si="12"/>
        <v>45967</v>
      </c>
      <c r="AB25" s="58">
        <f t="shared" si="13"/>
        <v>45997</v>
      </c>
      <c r="AC25" s="53" t="s">
        <v>63</v>
      </c>
      <c r="AD25" s="53"/>
      <c r="AF25" s="183">
        <f>VLOOKUP(B25,investasi!$B$5:$G$18,6,0)</f>
        <v>223104820</v>
      </c>
      <c r="AG25" s="184">
        <f t="shared" si="8"/>
        <v>223104820</v>
      </c>
      <c r="AH25" s="184">
        <f t="shared" si="9"/>
        <v>0</v>
      </c>
    </row>
    <row r="26" spans="1:35" s="59" customFormat="1" x14ac:dyDescent="0.25">
      <c r="A26" s="181">
        <v>15</v>
      </c>
      <c r="B26" s="181">
        <f>Detail!$B$58</f>
        <v>5200778319</v>
      </c>
      <c r="C26" s="60">
        <v>45909</v>
      </c>
      <c r="D26" s="53" t="str">
        <f>Detail!$D$58</f>
        <v>Top Frame 800</v>
      </c>
      <c r="E26" s="55">
        <v>2</v>
      </c>
      <c r="F26" s="55"/>
      <c r="G26" s="55">
        <f>Detail!$F$58</f>
        <v>225000000</v>
      </c>
      <c r="H26" s="55">
        <f t="shared" si="0"/>
        <v>450000000</v>
      </c>
      <c r="I26" s="55">
        <f t="shared" si="14"/>
        <v>225000000</v>
      </c>
      <c r="J26" s="55">
        <f t="shared" si="15"/>
        <v>22500000</v>
      </c>
      <c r="K26" s="56">
        <f t="shared" si="16"/>
        <v>45000000</v>
      </c>
      <c r="L26" s="56"/>
      <c r="M26" s="56">
        <f t="shared" si="10"/>
        <v>45000000</v>
      </c>
      <c r="N26" s="53"/>
      <c r="O26" s="56"/>
      <c r="P26" s="53">
        <v>2</v>
      </c>
      <c r="Q26" s="53"/>
      <c r="R26" s="53"/>
      <c r="S26" s="53"/>
      <c r="T26" s="53"/>
      <c r="U26" s="56">
        <f t="shared" si="3"/>
        <v>2</v>
      </c>
      <c r="V26" s="56">
        <f t="shared" si="4"/>
        <v>0</v>
      </c>
      <c r="W26" s="55">
        <f t="shared" si="5"/>
        <v>45000000</v>
      </c>
      <c r="X26" s="56">
        <f t="shared" si="6"/>
        <v>0</v>
      </c>
      <c r="Y26" s="182">
        <v>45940</v>
      </c>
      <c r="Z26" s="182">
        <f t="shared" si="11"/>
        <v>45947</v>
      </c>
      <c r="AA26" s="182">
        <f t="shared" si="12"/>
        <v>45977</v>
      </c>
      <c r="AB26" s="58">
        <f t="shared" si="13"/>
        <v>46007</v>
      </c>
      <c r="AC26" s="53" t="s">
        <v>63</v>
      </c>
      <c r="AD26" s="53"/>
      <c r="AF26" s="183">
        <f>VLOOKUP(B26,investasi!$B$23:$G$26,6,0)</f>
        <v>45000000</v>
      </c>
      <c r="AG26" s="184">
        <f>M26</f>
        <v>45000000</v>
      </c>
      <c r="AH26" s="184">
        <f t="shared" si="9"/>
        <v>0</v>
      </c>
    </row>
    <row r="27" spans="1:35" s="59" customFormat="1" x14ac:dyDescent="0.25">
      <c r="A27" s="181">
        <v>16</v>
      </c>
      <c r="B27" s="181">
        <v>5200778328</v>
      </c>
      <c r="C27" s="60">
        <v>45915</v>
      </c>
      <c r="D27" s="53" t="s">
        <v>61</v>
      </c>
      <c r="E27" s="55">
        <v>1</v>
      </c>
      <c r="F27" s="55"/>
      <c r="G27" s="55">
        <f>Detail!F59</f>
        <v>685000000</v>
      </c>
      <c r="H27" s="55">
        <f t="shared" si="0"/>
        <v>685000000</v>
      </c>
      <c r="I27" s="55">
        <f t="shared" si="14"/>
        <v>342500000</v>
      </c>
      <c r="J27" s="55">
        <f t="shared" si="15"/>
        <v>68500000</v>
      </c>
      <c r="K27" s="56">
        <f>(I27*20%)+F27</f>
        <v>68500000</v>
      </c>
      <c r="L27" s="56">
        <v>66261000</v>
      </c>
      <c r="M27" s="56">
        <f t="shared" si="10"/>
        <v>134761000</v>
      </c>
      <c r="N27" s="53"/>
      <c r="O27" s="56"/>
      <c r="P27" s="53">
        <v>1</v>
      </c>
      <c r="Q27" s="53"/>
      <c r="R27" s="53"/>
      <c r="S27" s="53"/>
      <c r="T27" s="53"/>
      <c r="U27" s="56">
        <f t="shared" si="3"/>
        <v>1</v>
      </c>
      <c r="V27" s="56">
        <f t="shared" si="4"/>
        <v>0</v>
      </c>
      <c r="W27" s="55">
        <f>J27*U27+L27</f>
        <v>134761000</v>
      </c>
      <c r="X27" s="56">
        <f>K27+L27-W27</f>
        <v>0</v>
      </c>
      <c r="Y27" s="182">
        <v>45940</v>
      </c>
      <c r="Z27" s="182">
        <f t="shared" si="11"/>
        <v>45947</v>
      </c>
      <c r="AA27" s="182">
        <f t="shared" si="12"/>
        <v>45977</v>
      </c>
      <c r="AB27" s="58">
        <f t="shared" si="13"/>
        <v>46007</v>
      </c>
      <c r="AC27" s="53" t="s">
        <v>63</v>
      </c>
      <c r="AD27" s="53"/>
      <c r="AF27" s="183">
        <f>VLOOKUP(B27,investasi!$B$23:$G$26,6,0)+investasi!I24</f>
        <v>134761000</v>
      </c>
      <c r="AG27" s="184">
        <f t="shared" si="8"/>
        <v>134761000</v>
      </c>
      <c r="AH27" s="184">
        <f t="shared" si="9"/>
        <v>0</v>
      </c>
    </row>
    <row r="28" spans="1:35" s="59" customFormat="1" x14ac:dyDescent="0.25">
      <c r="A28" s="181"/>
      <c r="B28" s="45"/>
      <c r="C28" s="60"/>
      <c r="D28" s="53"/>
      <c r="E28" s="55"/>
      <c r="F28" s="55"/>
      <c r="G28" s="55"/>
      <c r="H28" s="55"/>
      <c r="I28" s="55"/>
      <c r="J28" s="55"/>
      <c r="K28" s="56"/>
      <c r="L28" s="56"/>
      <c r="M28" s="56"/>
      <c r="N28" s="53"/>
      <c r="O28" s="56"/>
      <c r="P28" s="53"/>
      <c r="Q28" s="53"/>
      <c r="R28" s="53"/>
      <c r="S28" s="53"/>
      <c r="T28" s="53"/>
      <c r="U28" s="56">
        <f t="shared" si="3"/>
        <v>0</v>
      </c>
      <c r="V28" s="56"/>
      <c r="W28" s="55"/>
      <c r="X28" s="56"/>
      <c r="Y28" s="182"/>
      <c r="Z28" s="182"/>
      <c r="AA28" s="182"/>
      <c r="AB28" s="58"/>
      <c r="AC28" s="53" t="s">
        <v>63</v>
      </c>
      <c r="AD28" s="53"/>
      <c r="AF28" s="183"/>
      <c r="AG28" s="184"/>
    </row>
    <row r="29" spans="1:35" ht="14.25" customHeight="1" x14ac:dyDescent="0.25">
      <c r="A29" s="180">
        <v>18</v>
      </c>
      <c r="B29" s="180">
        <f>Detail!B60</f>
        <v>5200779815</v>
      </c>
      <c r="C29" s="62">
        <v>45965</v>
      </c>
      <c r="D29" s="61" t="s">
        <v>61</v>
      </c>
      <c r="E29" s="63">
        <v>1</v>
      </c>
      <c r="F29" s="63"/>
      <c r="G29" s="63">
        <f>Detail!F60</f>
        <v>685000000</v>
      </c>
      <c r="H29" s="63">
        <f t="shared" si="0"/>
        <v>685000000</v>
      </c>
      <c r="I29" s="63">
        <f t="shared" si="14"/>
        <v>342500000</v>
      </c>
      <c r="J29" s="63">
        <f t="shared" si="15"/>
        <v>68500000</v>
      </c>
      <c r="K29" s="64">
        <f>(I29*20%)+F29</f>
        <v>68500000</v>
      </c>
      <c r="L29" s="64">
        <v>66261000</v>
      </c>
      <c r="M29" s="64">
        <f t="shared" si="10"/>
        <v>134761000</v>
      </c>
      <c r="N29" s="61"/>
      <c r="O29" s="64"/>
      <c r="P29" s="61"/>
      <c r="Q29" s="61"/>
      <c r="R29" s="61"/>
      <c r="S29" s="61"/>
      <c r="T29" s="61"/>
      <c r="U29" s="64">
        <f t="shared" si="3"/>
        <v>0</v>
      </c>
      <c r="V29" s="64"/>
      <c r="W29" s="63"/>
      <c r="X29" s="64">
        <f>K29+L29-W29</f>
        <v>134761000</v>
      </c>
      <c r="Y29" s="65">
        <v>45989</v>
      </c>
      <c r="Z29" s="186">
        <f t="shared" ref="Z29" si="17">Y29+7</f>
        <v>45996</v>
      </c>
      <c r="AA29" s="186">
        <f t="shared" ref="AA29" si="18">Z29+30</f>
        <v>46026</v>
      </c>
      <c r="AB29" s="187">
        <f t="shared" ref="AB29" si="19">Z29+60</f>
        <v>46056</v>
      </c>
      <c r="AC29" s="61" t="s">
        <v>63</v>
      </c>
      <c r="AD29" s="61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180">
        <f>A29+1</f>
        <v>19</v>
      </c>
      <c r="B30" s="180">
        <v>5200988854</v>
      </c>
      <c r="C30" s="62">
        <v>45977</v>
      </c>
      <c r="D30" s="61" t="s">
        <v>114</v>
      </c>
      <c r="E30" s="63">
        <v>150</v>
      </c>
      <c r="F30" s="63"/>
      <c r="G30" s="63">
        <v>4990500</v>
      </c>
      <c r="H30" s="63">
        <f>E30*G30</f>
        <v>748575000</v>
      </c>
      <c r="I30" s="63">
        <f t="shared" si="14"/>
        <v>374287500</v>
      </c>
      <c r="J30" s="63">
        <f t="shared" si="15"/>
        <v>499050</v>
      </c>
      <c r="K30" s="64">
        <f>(I30*20%)+F30</f>
        <v>74857500</v>
      </c>
      <c r="L30" s="64"/>
      <c r="M30" s="64">
        <f t="shared" si="10"/>
        <v>74857500</v>
      </c>
      <c r="N30" s="61"/>
      <c r="O30" s="64"/>
      <c r="P30" s="61"/>
      <c r="Q30" s="61"/>
      <c r="R30" s="61">
        <v>150</v>
      </c>
      <c r="S30" s="61"/>
      <c r="T30" s="61"/>
      <c r="U30" s="64">
        <f t="shared" si="3"/>
        <v>150</v>
      </c>
      <c r="V30" s="64">
        <f t="shared" ref="V30" si="20">E30-U30</f>
        <v>0</v>
      </c>
      <c r="W30" s="63">
        <f>J30*U30+L30</f>
        <v>74857500</v>
      </c>
      <c r="X30" s="64">
        <f>K30+L30-W30</f>
        <v>0</v>
      </c>
      <c r="Y30" s="65">
        <v>45989</v>
      </c>
      <c r="Z30" s="186">
        <f t="shared" ref="Z30:Z40" si="21">Y30+7</f>
        <v>45996</v>
      </c>
      <c r="AA30" s="186">
        <f t="shared" ref="AA30:AA40" si="22">Z30+30</f>
        <v>46026</v>
      </c>
      <c r="AB30" s="187">
        <f t="shared" ref="AB30:AB40" si="23">Z30+60</f>
        <v>46056</v>
      </c>
      <c r="AC30" s="61" t="s">
        <v>69</v>
      </c>
      <c r="AD30" s="61"/>
      <c r="AF30" s="82"/>
      <c r="AG30" s="2"/>
      <c r="AH30" s="2"/>
    </row>
    <row r="31" spans="1:35" ht="14.25" customHeight="1" x14ac:dyDescent="0.25">
      <c r="A31" s="31">
        <f t="shared" ref="A31:A40" si="24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25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26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>
        <f t="shared" si="3"/>
        <v>0</v>
      </c>
      <c r="V31" s="7"/>
      <c r="W31" s="78"/>
      <c r="X31" s="7">
        <f t="shared" ref="X31:X34" si="27">K31+L31-W31</f>
        <v>211000000</v>
      </c>
      <c r="Y31" s="27"/>
      <c r="Z31" s="185"/>
      <c r="AA31" s="185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24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25"/>
        <v>2110000000</v>
      </c>
      <c r="I32" s="78">
        <f t="shared" si="14"/>
        <v>1055000000</v>
      </c>
      <c r="J32" s="78">
        <f t="shared" si="15"/>
        <v>2110000</v>
      </c>
      <c r="K32" s="7">
        <f t="shared" si="26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>
        <f t="shared" si="3"/>
        <v>0</v>
      </c>
      <c r="V32" s="7"/>
      <c r="W32" s="78"/>
      <c r="X32" s="7">
        <f t="shared" si="27"/>
        <v>211000000</v>
      </c>
      <c r="Y32" s="27"/>
      <c r="Z32" s="185"/>
      <c r="AA32" s="185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24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25"/>
        <v>2321000000</v>
      </c>
      <c r="I33" s="78">
        <f t="shared" si="14"/>
        <v>1160500000</v>
      </c>
      <c r="J33" s="78">
        <f t="shared" si="15"/>
        <v>2110000</v>
      </c>
      <c r="K33" s="7">
        <f t="shared" si="26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>
        <f t="shared" si="3"/>
        <v>0</v>
      </c>
      <c r="V33" s="7"/>
      <c r="W33" s="78"/>
      <c r="X33" s="7">
        <f t="shared" si="27"/>
        <v>232100000</v>
      </c>
      <c r="Y33" s="27"/>
      <c r="Z33" s="185"/>
      <c r="AA33" s="185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>
        <f t="shared" si="24"/>
        <v>23</v>
      </c>
      <c r="B34" s="163" t="s">
        <v>132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25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>
        <f t="shared" si="3"/>
        <v>0</v>
      </c>
      <c r="V34" s="7"/>
      <c r="W34" s="78"/>
      <c r="X34" s="7">
        <f t="shared" si="27"/>
        <v>76500000</v>
      </c>
      <c r="Y34" s="27"/>
      <c r="Z34" s="185"/>
      <c r="AA34" s="185"/>
      <c r="AB34" s="27"/>
      <c r="AC34" s="4" t="s">
        <v>65</v>
      </c>
      <c r="AD34" s="4"/>
      <c r="AF34" s="82"/>
      <c r="AG34" s="2"/>
      <c r="AH34" s="2"/>
    </row>
    <row r="35" spans="1:34" ht="14.25" customHeight="1" x14ac:dyDescent="0.25">
      <c r="A35" s="31">
        <f t="shared" si="24"/>
        <v>24</v>
      </c>
      <c r="B35" s="179">
        <v>5200991260</v>
      </c>
      <c r="C35" s="16">
        <v>45985</v>
      </c>
      <c r="D35" s="4" t="s">
        <v>114</v>
      </c>
      <c r="E35" s="78">
        <v>150</v>
      </c>
      <c r="F35" s="78"/>
      <c r="G35" s="78">
        <v>4990500</v>
      </c>
      <c r="H35" s="78">
        <f>E35*G35</f>
        <v>748575000</v>
      </c>
      <c r="I35" s="78">
        <f t="shared" ref="I35" si="28">H35*50%</f>
        <v>374287500</v>
      </c>
      <c r="J35" s="78">
        <f t="shared" ref="J35" si="29">(I35*20%)/E35</f>
        <v>499050</v>
      </c>
      <c r="K35" s="7">
        <f>(I35*20%)+F35</f>
        <v>74857500</v>
      </c>
      <c r="L35" s="7"/>
      <c r="M35" s="7">
        <f t="shared" ref="M35" si="30">SUM(K35:L35)</f>
        <v>74857500</v>
      </c>
      <c r="N35" s="4"/>
      <c r="O35" s="7"/>
      <c r="P35" s="4"/>
      <c r="Q35" s="4"/>
      <c r="R35" s="4"/>
      <c r="S35" s="4"/>
      <c r="T35" s="4"/>
      <c r="U35" s="7">
        <f t="shared" si="3"/>
        <v>0</v>
      </c>
      <c r="V35" s="7"/>
      <c r="W35" s="78"/>
      <c r="X35" s="7">
        <f>K35+L35-W35</f>
        <v>74857500</v>
      </c>
      <c r="Y35" s="27">
        <f>C35+14</f>
        <v>45999</v>
      </c>
      <c r="Z35" s="182">
        <f t="shared" si="21"/>
        <v>46006</v>
      </c>
      <c r="AA35" s="182">
        <f t="shared" si="22"/>
        <v>46036</v>
      </c>
      <c r="AB35" s="58">
        <f t="shared" si="23"/>
        <v>46066</v>
      </c>
      <c r="AC35" s="4" t="s">
        <v>65</v>
      </c>
      <c r="AD35" s="4"/>
      <c r="AF35" s="82"/>
      <c r="AG35" s="2"/>
      <c r="AH35" s="2"/>
    </row>
    <row r="36" spans="1:34" ht="14.25" customHeight="1" x14ac:dyDescent="0.25">
      <c r="A36" s="31">
        <f t="shared" si="24"/>
        <v>25</v>
      </c>
      <c r="B36" s="179">
        <v>5200991264</v>
      </c>
      <c r="C36" s="16">
        <v>45985</v>
      </c>
      <c r="D36" s="4" t="s">
        <v>114</v>
      </c>
      <c r="E36" s="78">
        <v>150</v>
      </c>
      <c r="F36" s="78"/>
      <c r="G36" s="78">
        <v>4990500</v>
      </c>
      <c r="H36" s="78">
        <f t="shared" ref="H36:H39" si="31">E36*G36</f>
        <v>748575000</v>
      </c>
      <c r="I36" s="78">
        <f t="shared" ref="I36:I39" si="32">H36*50%</f>
        <v>374287500</v>
      </c>
      <c r="J36" s="78">
        <f t="shared" ref="J36:J39" si="33">(I36*20%)/E36</f>
        <v>499050</v>
      </c>
      <c r="K36" s="7">
        <f t="shared" ref="K36:K39" si="34">(I36*20%)+F36</f>
        <v>74857500</v>
      </c>
      <c r="L36" s="7"/>
      <c r="M36" s="7">
        <f t="shared" ref="M36:M39" si="35">SUM(K36:L36)</f>
        <v>74857500</v>
      </c>
      <c r="N36" s="4"/>
      <c r="O36" s="7"/>
      <c r="P36" s="4"/>
      <c r="Q36" s="4"/>
      <c r="R36" s="4"/>
      <c r="S36" s="4"/>
      <c r="T36" s="4"/>
      <c r="U36" s="7">
        <f t="shared" si="3"/>
        <v>0</v>
      </c>
      <c r="V36" s="7"/>
      <c r="W36" s="78"/>
      <c r="X36" s="7">
        <f t="shared" ref="X36:X39" si="36">K36+L36-W36</f>
        <v>74857500</v>
      </c>
      <c r="Y36" s="27">
        <f t="shared" ref="Y36:Y40" si="37">C36+21</f>
        <v>46006</v>
      </c>
      <c r="Z36" s="182">
        <f t="shared" si="21"/>
        <v>46013</v>
      </c>
      <c r="AA36" s="182">
        <f t="shared" si="22"/>
        <v>46043</v>
      </c>
      <c r="AB36" s="58">
        <f t="shared" si="23"/>
        <v>46073</v>
      </c>
      <c r="AC36" s="4" t="s">
        <v>65</v>
      </c>
      <c r="AD36" s="4"/>
      <c r="AF36" s="82"/>
      <c r="AG36" s="2"/>
      <c r="AH36" s="2"/>
    </row>
    <row r="37" spans="1:34" ht="14.25" customHeight="1" x14ac:dyDescent="0.25">
      <c r="A37" s="31">
        <f t="shared" si="24"/>
        <v>26</v>
      </c>
      <c r="B37" s="179">
        <v>5200991456</v>
      </c>
      <c r="C37" s="16">
        <v>45986</v>
      </c>
      <c r="D37" s="4" t="s">
        <v>114</v>
      </c>
      <c r="E37" s="78">
        <v>150</v>
      </c>
      <c r="F37" s="78"/>
      <c r="G37" s="78">
        <v>4990500</v>
      </c>
      <c r="H37" s="78">
        <f t="shared" si="31"/>
        <v>748575000</v>
      </c>
      <c r="I37" s="78">
        <f t="shared" si="32"/>
        <v>374287500</v>
      </c>
      <c r="J37" s="78">
        <f t="shared" si="33"/>
        <v>499050</v>
      </c>
      <c r="K37" s="7">
        <f t="shared" si="34"/>
        <v>74857500</v>
      </c>
      <c r="L37" s="7"/>
      <c r="M37" s="7">
        <f t="shared" si="35"/>
        <v>74857500</v>
      </c>
      <c r="N37" s="4"/>
      <c r="O37" s="7"/>
      <c r="P37" s="4"/>
      <c r="Q37" s="4"/>
      <c r="R37" s="4"/>
      <c r="S37" s="4"/>
      <c r="T37" s="4"/>
      <c r="U37" s="7">
        <f t="shared" si="3"/>
        <v>0</v>
      </c>
      <c r="V37" s="7"/>
      <c r="W37" s="78"/>
      <c r="X37" s="7">
        <f t="shared" si="36"/>
        <v>74857500</v>
      </c>
      <c r="Y37" s="27">
        <f t="shared" si="37"/>
        <v>46007</v>
      </c>
      <c r="Z37" s="182">
        <f t="shared" si="21"/>
        <v>46014</v>
      </c>
      <c r="AA37" s="182">
        <f t="shared" si="22"/>
        <v>46044</v>
      </c>
      <c r="AB37" s="58">
        <f t="shared" si="23"/>
        <v>46074</v>
      </c>
      <c r="AC37" s="4" t="s">
        <v>65</v>
      </c>
      <c r="AD37" s="4"/>
      <c r="AF37" s="82"/>
      <c r="AG37" s="2"/>
      <c r="AH37" s="2"/>
    </row>
    <row r="38" spans="1:34" ht="14.25" customHeight="1" x14ac:dyDescent="0.25">
      <c r="A38" s="31">
        <f t="shared" si="24"/>
        <v>27</v>
      </c>
      <c r="B38" s="179">
        <v>5200991458</v>
      </c>
      <c r="C38" s="16">
        <v>45986</v>
      </c>
      <c r="D38" s="4" t="s">
        <v>114</v>
      </c>
      <c r="E38" s="78">
        <v>150</v>
      </c>
      <c r="F38" s="78"/>
      <c r="G38" s="78">
        <v>4990500</v>
      </c>
      <c r="H38" s="78">
        <f t="shared" si="31"/>
        <v>748575000</v>
      </c>
      <c r="I38" s="78">
        <f t="shared" si="32"/>
        <v>374287500</v>
      </c>
      <c r="J38" s="78">
        <f t="shared" si="33"/>
        <v>499050</v>
      </c>
      <c r="K38" s="7">
        <f t="shared" si="34"/>
        <v>74857500</v>
      </c>
      <c r="L38" s="7"/>
      <c r="M38" s="7">
        <f t="shared" si="35"/>
        <v>74857500</v>
      </c>
      <c r="N38" s="4"/>
      <c r="O38" s="7"/>
      <c r="P38" s="4"/>
      <c r="Q38" s="4"/>
      <c r="R38" s="4"/>
      <c r="S38" s="4"/>
      <c r="T38" s="4"/>
      <c r="U38" s="7">
        <f t="shared" si="3"/>
        <v>0</v>
      </c>
      <c r="V38" s="7"/>
      <c r="W38" s="78"/>
      <c r="X38" s="7">
        <f t="shared" si="36"/>
        <v>74857500</v>
      </c>
      <c r="Y38" s="27">
        <f t="shared" si="37"/>
        <v>46007</v>
      </c>
      <c r="Z38" s="182">
        <f t="shared" si="21"/>
        <v>46014</v>
      </c>
      <c r="AA38" s="182">
        <f t="shared" si="22"/>
        <v>46044</v>
      </c>
      <c r="AB38" s="58">
        <f t="shared" si="23"/>
        <v>46074</v>
      </c>
      <c r="AC38" s="4" t="s">
        <v>65</v>
      </c>
      <c r="AD38" s="4"/>
      <c r="AF38" s="82"/>
      <c r="AG38" s="2"/>
      <c r="AH38" s="2"/>
    </row>
    <row r="39" spans="1:34" ht="14.25" customHeight="1" x14ac:dyDescent="0.25">
      <c r="A39" s="31">
        <f t="shared" si="24"/>
        <v>28</v>
      </c>
      <c r="B39" s="179">
        <v>5200991502</v>
      </c>
      <c r="C39" s="16">
        <v>45986</v>
      </c>
      <c r="D39" s="4" t="s">
        <v>114</v>
      </c>
      <c r="E39" s="78">
        <v>150</v>
      </c>
      <c r="F39" s="78"/>
      <c r="G39" s="78">
        <v>4990500</v>
      </c>
      <c r="H39" s="78">
        <f t="shared" si="31"/>
        <v>748575000</v>
      </c>
      <c r="I39" s="78">
        <f t="shared" si="32"/>
        <v>374287500</v>
      </c>
      <c r="J39" s="78">
        <f t="shared" si="33"/>
        <v>499050</v>
      </c>
      <c r="K39" s="7">
        <f t="shared" si="34"/>
        <v>74857500</v>
      </c>
      <c r="L39" s="7"/>
      <c r="M39" s="7">
        <f t="shared" si="35"/>
        <v>74857500</v>
      </c>
      <c r="N39" s="4"/>
      <c r="O39" s="7"/>
      <c r="P39" s="4"/>
      <c r="Q39" s="4"/>
      <c r="R39" s="4"/>
      <c r="S39" s="4"/>
      <c r="T39" s="4"/>
      <c r="U39" s="7">
        <f t="shared" si="3"/>
        <v>0</v>
      </c>
      <c r="V39" s="7"/>
      <c r="W39" s="78"/>
      <c r="X39" s="7">
        <f t="shared" si="36"/>
        <v>74857500</v>
      </c>
      <c r="Y39" s="27">
        <f t="shared" si="37"/>
        <v>46007</v>
      </c>
      <c r="Z39" s="182">
        <f t="shared" si="21"/>
        <v>46014</v>
      </c>
      <c r="AA39" s="182">
        <f t="shared" si="22"/>
        <v>46044</v>
      </c>
      <c r="AB39" s="58">
        <f t="shared" si="23"/>
        <v>46074</v>
      </c>
      <c r="AC39" s="4" t="s">
        <v>65</v>
      </c>
      <c r="AD39" s="4"/>
      <c r="AF39" s="82"/>
      <c r="AG39" s="2"/>
      <c r="AH39" s="2"/>
    </row>
    <row r="40" spans="1:34" ht="14.25" customHeight="1" x14ac:dyDescent="0.25">
      <c r="A40" s="31">
        <f t="shared" si="24"/>
        <v>29</v>
      </c>
      <c r="B40" s="179">
        <v>5200991502</v>
      </c>
      <c r="C40" s="16">
        <v>45986</v>
      </c>
      <c r="D40" s="4" t="s">
        <v>114</v>
      </c>
      <c r="E40" s="78">
        <v>150</v>
      </c>
      <c r="F40" s="78"/>
      <c r="G40" s="78">
        <v>4990500</v>
      </c>
      <c r="H40" s="78">
        <f>E40*G40</f>
        <v>748575000</v>
      </c>
      <c r="I40" s="78">
        <f t="shared" ref="I40" si="38">H40*50%</f>
        <v>374287500</v>
      </c>
      <c r="J40" s="78">
        <f t="shared" ref="J40" si="39">(I40*20%)/E40</f>
        <v>499050</v>
      </c>
      <c r="K40" s="7">
        <f>(I40*20%)+F40</f>
        <v>74857500</v>
      </c>
      <c r="L40" s="7"/>
      <c r="M40" s="7">
        <f t="shared" ref="M40" si="40">SUM(K40:L40)</f>
        <v>74857500</v>
      </c>
      <c r="N40" s="4"/>
      <c r="O40" s="7"/>
      <c r="P40" s="4"/>
      <c r="Q40" s="4"/>
      <c r="R40" s="4"/>
      <c r="S40" s="4"/>
      <c r="T40" s="4"/>
      <c r="U40" s="7">
        <f t="shared" si="3"/>
        <v>0</v>
      </c>
      <c r="V40" s="7"/>
      <c r="W40" s="78"/>
      <c r="X40" s="7">
        <f>K40+L40-W40</f>
        <v>74857500</v>
      </c>
      <c r="Y40" s="27">
        <f t="shared" si="37"/>
        <v>46007</v>
      </c>
      <c r="Z40" s="182">
        <f t="shared" si="21"/>
        <v>46014</v>
      </c>
      <c r="AA40" s="182">
        <f t="shared" si="22"/>
        <v>46044</v>
      </c>
      <c r="AB40" s="58">
        <f t="shared" si="23"/>
        <v>46074</v>
      </c>
      <c r="AC40" s="4" t="s">
        <v>65</v>
      </c>
      <c r="AD40" s="4"/>
      <c r="AF40" s="82"/>
      <c r="AG40" s="2"/>
      <c r="AH40" s="2"/>
    </row>
    <row r="41" spans="1:34" x14ac:dyDescent="0.25">
      <c r="A41" s="29"/>
      <c r="C41" s="15"/>
      <c r="D41" s="15"/>
      <c r="E41" s="79"/>
      <c r="F41" s="79"/>
      <c r="G41" s="79"/>
      <c r="H41" s="79"/>
      <c r="I41" s="79"/>
      <c r="J41" s="79"/>
      <c r="K41" s="2"/>
      <c r="L41" s="2"/>
      <c r="M41" s="2"/>
      <c r="O41" s="2"/>
      <c r="U41" s="2"/>
      <c r="V41" s="2"/>
      <c r="W41" s="79"/>
      <c r="X41" s="2"/>
      <c r="Y41" s="2"/>
    </row>
    <row r="42" spans="1:34" ht="15.75" thickBot="1" x14ac:dyDescent="0.3">
      <c r="A42" s="29"/>
      <c r="C42" s="15"/>
      <c r="D42" s="15"/>
      <c r="E42" s="79"/>
      <c r="F42" s="79"/>
      <c r="G42" s="79"/>
      <c r="H42" s="79"/>
      <c r="I42" s="79"/>
      <c r="J42" s="79"/>
      <c r="K42" s="2"/>
      <c r="L42" s="2"/>
      <c r="M42" s="2"/>
      <c r="O42" s="2"/>
      <c r="U42" s="2"/>
      <c r="V42" s="2"/>
      <c r="W42" s="79"/>
      <c r="X42" s="2"/>
      <c r="Y42" s="2"/>
    </row>
    <row r="43" spans="1:34" ht="15.75" thickBot="1" x14ac:dyDescent="0.3">
      <c r="B43" s="32" t="s">
        <v>51</v>
      </c>
      <c r="C43" s="18"/>
      <c r="D43" s="18"/>
      <c r="E43" s="18"/>
      <c r="F43" s="18"/>
      <c r="G43" s="18"/>
      <c r="H43" s="18"/>
      <c r="I43" s="19">
        <f>SUM(I12:I40)</f>
        <v>12416211100</v>
      </c>
      <c r="J43" s="18"/>
      <c r="K43" s="19">
        <f>SUM(K12:K40)</f>
        <v>2492721970</v>
      </c>
      <c r="L43" s="19">
        <f>SUM(L12:L34)</f>
        <v>132522000</v>
      </c>
      <c r="M43" s="19">
        <f>SUM(M12:T40)</f>
        <v>2625244176</v>
      </c>
      <c r="N43" s="18"/>
      <c r="O43" s="18"/>
      <c r="P43" s="18"/>
      <c r="Q43" s="18"/>
      <c r="R43" s="18"/>
      <c r="S43" s="18"/>
      <c r="T43" s="18"/>
      <c r="U43" s="18"/>
      <c r="V43" s="18"/>
      <c r="W43" s="19">
        <f>SUM(W12:W40)</f>
        <v>1310737970</v>
      </c>
      <c r="X43" s="19">
        <f>SUM(X12:X40)</f>
        <v>1314506000</v>
      </c>
      <c r="Y43" s="24"/>
    </row>
    <row r="44" spans="1:34" x14ac:dyDescent="0.25">
      <c r="E44" s="9"/>
      <c r="F44" s="9"/>
      <c r="G44" s="9"/>
      <c r="H44" s="9"/>
      <c r="I44" s="9"/>
      <c r="J44" s="9"/>
      <c r="K44" s="9"/>
      <c r="L44" s="9"/>
      <c r="M44" s="9"/>
      <c r="X44" s="2">
        <f>W43+X43-H56</f>
        <v>1254602500</v>
      </c>
    </row>
    <row r="45" spans="1:34" x14ac:dyDescent="0.25">
      <c r="E45" s="9" t="s">
        <v>36</v>
      </c>
      <c r="F45" s="9"/>
      <c r="G45" s="9" t="s">
        <v>37</v>
      </c>
      <c r="H45" s="9" t="s">
        <v>38</v>
      </c>
      <c r="I45" s="9" t="s">
        <v>39</v>
      </c>
      <c r="J45" s="9" t="s">
        <v>40</v>
      </c>
      <c r="K45" s="9" t="s">
        <v>41</v>
      </c>
      <c r="L45" s="9"/>
      <c r="M45" s="9"/>
    </row>
    <row r="46" spans="1:34" ht="30" x14ac:dyDescent="0.25">
      <c r="E46" s="10" t="s">
        <v>32</v>
      </c>
      <c r="F46" s="11" t="s">
        <v>46</v>
      </c>
      <c r="G46" s="10" t="s">
        <v>8</v>
      </c>
      <c r="H46" s="11" t="s">
        <v>71</v>
      </c>
      <c r="I46" s="12" t="s">
        <v>42</v>
      </c>
      <c r="J46" s="12" t="s">
        <v>133</v>
      </c>
      <c r="K46" s="13" t="s">
        <v>30</v>
      </c>
      <c r="L46" s="33"/>
      <c r="M46" s="33"/>
    </row>
    <row r="47" spans="1:34" x14ac:dyDescent="0.25">
      <c r="E47" s="5">
        <v>45839</v>
      </c>
      <c r="F47" s="7">
        <f>SUM(I12:I14)</f>
        <v>900000000</v>
      </c>
      <c r="G47" s="7">
        <f>SUM(W12:W14)</f>
        <v>180000000</v>
      </c>
      <c r="H47" s="6"/>
      <c r="I47" s="6"/>
      <c r="J47" s="6"/>
      <c r="K47" s="7">
        <f>F47+G47</f>
        <v>1080000000</v>
      </c>
      <c r="L47" s="2"/>
      <c r="M47" s="2"/>
      <c r="X47" s="2">
        <f>SUM(I26:I29,AG26:AG29)</f>
        <v>1224522000</v>
      </c>
    </row>
    <row r="48" spans="1:34" x14ac:dyDescent="0.25">
      <c r="E48" s="5">
        <v>45870</v>
      </c>
      <c r="F48" s="7">
        <f>SUM(I15:I18)</f>
        <v>1125000000</v>
      </c>
      <c r="G48" s="7">
        <f>SUM(W15:W18)</f>
        <v>225000000</v>
      </c>
      <c r="H48" s="7"/>
      <c r="I48" s="7">
        <f>SUM(I19:I22)</f>
        <v>1606174500</v>
      </c>
      <c r="J48" s="7"/>
      <c r="K48" s="7">
        <f>K47+F48+G48+H48-I48-J48</f>
        <v>823825500</v>
      </c>
      <c r="L48" s="2"/>
      <c r="M48" s="2"/>
    </row>
    <row r="49" spans="2:22" x14ac:dyDescent="0.25">
      <c r="E49" s="5">
        <v>45901</v>
      </c>
      <c r="F49" s="7">
        <v>1426698600</v>
      </c>
      <c r="G49" s="7"/>
      <c r="H49" s="7"/>
      <c r="I49" s="7">
        <f>SUM(I23:I27)</f>
        <v>2250524100</v>
      </c>
      <c r="J49" s="7"/>
      <c r="K49" s="7">
        <f>K48+F49+G49+H49-I49</f>
        <v>0</v>
      </c>
      <c r="L49" s="2"/>
      <c r="M49" s="2"/>
    </row>
    <row r="50" spans="2:22" x14ac:dyDescent="0.25">
      <c r="E50" s="5">
        <v>45931</v>
      </c>
      <c r="F50" s="7"/>
      <c r="G50" s="7"/>
      <c r="H50" s="7"/>
      <c r="I50" s="7">
        <f>I29+I28</f>
        <v>342500000</v>
      </c>
      <c r="J50" s="7"/>
      <c r="K50" s="7">
        <f>K49+F50+G50+H50-I50</f>
        <v>-342500000</v>
      </c>
      <c r="L50" s="2"/>
      <c r="M50" s="2"/>
    </row>
    <row r="51" spans="2:22" x14ac:dyDescent="0.25">
      <c r="E51" s="5">
        <v>45962</v>
      </c>
      <c r="F51" s="7"/>
      <c r="G51" s="7">
        <f>SUM(M19:M29)</f>
        <v>965641470</v>
      </c>
      <c r="H51" s="7"/>
      <c r="I51" s="7">
        <f>-SUM(I19:I29)</f>
        <v>-4199198600</v>
      </c>
      <c r="J51" s="7">
        <v>1105000000</v>
      </c>
      <c r="K51" s="7">
        <f>K50+F51+G51+H51-I51-J51</f>
        <v>3717340070</v>
      </c>
      <c r="L51" s="2"/>
      <c r="M51" s="2"/>
    </row>
    <row r="52" spans="2:22" x14ac:dyDescent="0.25">
      <c r="E52" s="5">
        <v>45992</v>
      </c>
      <c r="F52" s="7"/>
      <c r="G52" s="7"/>
      <c r="H52" s="7"/>
      <c r="I52" s="7"/>
      <c r="J52" s="7"/>
      <c r="K52" s="7">
        <f>K51+F52+G52+H52-I52-J52</f>
        <v>3717340070</v>
      </c>
      <c r="L52" s="2"/>
      <c r="M52" s="2"/>
      <c r="P52" s="1"/>
    </row>
    <row r="53" spans="2:22" x14ac:dyDescent="0.25">
      <c r="E53" s="4"/>
      <c r="F53" s="8">
        <f>SUM(F47:F52)</f>
        <v>3451698600</v>
      </c>
      <c r="G53" s="8">
        <f>SUM(G47:G52)</f>
        <v>1370641470</v>
      </c>
      <c r="H53" s="8">
        <f t="shared" ref="H53:J53" si="41">SUM(H47:H52)</f>
        <v>0</v>
      </c>
      <c r="I53" s="8">
        <f t="shared" si="41"/>
        <v>0</v>
      </c>
      <c r="J53" s="8">
        <f t="shared" si="41"/>
        <v>1105000000</v>
      </c>
      <c r="K53" s="8">
        <f>F53+G53+H53-I53-J53</f>
        <v>3717340070</v>
      </c>
      <c r="L53" s="24"/>
      <c r="M53" s="24"/>
      <c r="P53" s="2"/>
    </row>
    <row r="54" spans="2:22" x14ac:dyDescent="0.25">
      <c r="C54" s="2"/>
      <c r="D54" s="2"/>
      <c r="E54" s="2"/>
      <c r="F54" s="2"/>
      <c r="G54" s="2"/>
      <c r="H54" s="2"/>
    </row>
    <row r="55" spans="2:22" x14ac:dyDescent="0.25">
      <c r="E55" s="167" t="s">
        <v>47</v>
      </c>
      <c r="F55" s="167"/>
      <c r="G55" s="167"/>
      <c r="H55" s="168">
        <f>F53</f>
        <v>3451698600</v>
      </c>
      <c r="K55" s="2"/>
    </row>
    <row r="56" spans="2:22" x14ac:dyDescent="0.25">
      <c r="E56" s="167" t="s">
        <v>8</v>
      </c>
      <c r="F56" s="167"/>
      <c r="G56" s="167"/>
      <c r="H56" s="168">
        <f>G53</f>
        <v>1370641470</v>
      </c>
      <c r="J56" s="4" t="s">
        <v>134</v>
      </c>
      <c r="K56" s="7">
        <f>K53</f>
        <v>3717340070</v>
      </c>
      <c r="L56" s="2">
        <f>K56-K53</f>
        <v>0</v>
      </c>
    </row>
    <row r="57" spans="2:22" x14ac:dyDescent="0.25">
      <c r="E57" s="167" t="s">
        <v>48</v>
      </c>
      <c r="F57" s="167"/>
      <c r="G57" s="167"/>
      <c r="H57" s="168">
        <f>-I53</f>
        <v>0</v>
      </c>
      <c r="J57" s="6" t="s">
        <v>135</v>
      </c>
      <c r="K57" s="6"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2" x14ac:dyDescent="0.25">
      <c r="E58" s="167" t="s">
        <v>133</v>
      </c>
      <c r="F58" s="167"/>
      <c r="G58" s="167"/>
      <c r="H58" s="168">
        <f>-J53</f>
        <v>-1105000000</v>
      </c>
      <c r="J58" s="77" t="s">
        <v>136</v>
      </c>
      <c r="K58" s="77">
        <f>K56+K57</f>
        <v>3717340070</v>
      </c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2" x14ac:dyDescent="0.25">
      <c r="E59" s="167" t="s">
        <v>30</v>
      </c>
      <c r="F59" s="167"/>
      <c r="G59" s="167"/>
      <c r="H59" s="168">
        <f>H55+H56+H57+H58</f>
        <v>3717340070</v>
      </c>
      <c r="J59" s="4" t="s">
        <v>137</v>
      </c>
      <c r="K59" s="7">
        <v>3000000000</v>
      </c>
      <c r="U59" s="2"/>
    </row>
    <row r="60" spans="2:22" x14ac:dyDescent="0.25">
      <c r="B60" s="29" t="s">
        <v>73</v>
      </c>
      <c r="C60" s="1">
        <f>G53</f>
        <v>1370641470</v>
      </c>
      <c r="J60" s="164" t="s">
        <v>138</v>
      </c>
      <c r="K60" s="165">
        <f>K58-K59</f>
        <v>717340070</v>
      </c>
      <c r="U60" s="24"/>
    </row>
    <row r="61" spans="2:22" x14ac:dyDescent="0.25">
      <c r="B61" s="29" t="s">
        <v>74</v>
      </c>
      <c r="C61" s="1">
        <f>SUM(W19:X27)</f>
        <v>830880470</v>
      </c>
      <c r="I61" s="28"/>
      <c r="J61" t="s">
        <v>42</v>
      </c>
      <c r="K61" s="2">
        <f>SUM(I30:I40)</f>
        <v>6192012500</v>
      </c>
      <c r="U61" s="2"/>
    </row>
    <row r="62" spans="2:22" x14ac:dyDescent="0.25">
      <c r="B62" s="28" t="s">
        <v>72</v>
      </c>
      <c r="C62" s="48">
        <f>SUM(C60:C61)</f>
        <v>2201521940</v>
      </c>
      <c r="E62" s="80"/>
      <c r="H62" s="24"/>
      <c r="J62" t="s">
        <v>143</v>
      </c>
      <c r="K62" s="1">
        <v>3000000000</v>
      </c>
      <c r="U62" s="2"/>
    </row>
    <row r="63" spans="2:22" x14ac:dyDescent="0.25">
      <c r="B63" s="29" t="s">
        <v>75</v>
      </c>
      <c r="C63" s="1">
        <v>-300000000</v>
      </c>
      <c r="J63" s="80" t="s">
        <v>109</v>
      </c>
      <c r="K63" s="24">
        <f>K61-K62-K60</f>
        <v>2474672430</v>
      </c>
      <c r="U63" s="24"/>
      <c r="V63" s="2"/>
    </row>
    <row r="64" spans="2:22" x14ac:dyDescent="0.25">
      <c r="B64" s="28" t="s">
        <v>76</v>
      </c>
      <c r="C64" s="24">
        <f>C62+C63</f>
        <v>1901521940</v>
      </c>
      <c r="J64" s="166"/>
    </row>
    <row r="66" spans="2:3" x14ac:dyDescent="0.25">
      <c r="B66" s="29" t="s">
        <v>77</v>
      </c>
      <c r="C66" s="2">
        <f>C64-C60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F10:F11"/>
    <mergeCell ref="A10:A11"/>
    <mergeCell ref="B10:B11"/>
    <mergeCell ref="C10:C11"/>
    <mergeCell ref="D10:D11"/>
    <mergeCell ref="E10:E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935E-DAB3-4941-9D95-9241DB86DB13}">
  <sheetPr>
    <tabColor rgb="FF00B0F0"/>
  </sheetPr>
  <dimension ref="A1:AI59"/>
  <sheetViews>
    <sheetView showGridLines="0" zoomScale="85" zoomScaleNormal="85" workbookViewId="0">
      <pane xSplit="5" ySplit="11" topLeftCell="F26" activePane="bottomRight" state="frozen"/>
      <selection activeCell="N13" sqref="N13"/>
      <selection pane="topRight" activeCell="N13" sqref="N13"/>
      <selection pane="bottomLeft" activeCell="N13" sqref="N13"/>
      <selection pane="bottomRight" activeCell="E32" sqref="E32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8" width="14.28515625" bestFit="1" customWidth="1"/>
    <col min="9" max="9" width="15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27" t="s">
        <v>23</v>
      </c>
      <c r="O10" s="327"/>
      <c r="P10" s="327"/>
      <c r="Q10" s="327"/>
      <c r="R10" s="327"/>
      <c r="S10" s="327"/>
      <c r="T10" s="25"/>
      <c r="U10" s="328" t="s">
        <v>52</v>
      </c>
      <c r="V10" s="328" t="s">
        <v>34</v>
      </c>
      <c r="W10" s="331" t="s">
        <v>8</v>
      </c>
      <c r="X10" s="328" t="s">
        <v>31</v>
      </c>
      <c r="Y10" s="333" t="s">
        <v>54</v>
      </c>
      <c r="Z10" s="331" t="s">
        <v>53</v>
      </c>
      <c r="AA10" s="333" t="s">
        <v>80</v>
      </c>
      <c r="AB10" s="333" t="s">
        <v>82</v>
      </c>
      <c r="AC10" s="325" t="s">
        <v>62</v>
      </c>
      <c r="AD10" s="325" t="s">
        <v>66</v>
      </c>
      <c r="AF10" s="320" t="s">
        <v>109</v>
      </c>
      <c r="AG10" s="335" t="s">
        <v>127</v>
      </c>
      <c r="AH10" s="320" t="s">
        <v>110</v>
      </c>
    </row>
    <row r="11" spans="1:34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29"/>
      <c r="V11" s="330"/>
      <c r="W11" s="332"/>
      <c r="X11" s="330"/>
      <c r="Y11" s="334"/>
      <c r="Z11" s="332"/>
      <c r="AA11" s="334"/>
      <c r="AB11" s="334"/>
      <c r="AC11" s="325"/>
      <c r="AD11" s="325" t="s">
        <v>66</v>
      </c>
      <c r="AF11" s="320"/>
      <c r="AG11" s="335"/>
      <c r="AH11" s="320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V.2 (2)'!$B12,Detail!$E$4:$E$21)</f>
        <v>2</v>
      </c>
      <c r="F12" s="22"/>
      <c r="G12" s="22">
        <f>VLOOKUP($B12,Detail!$B$4:$Q$21,5,0)</f>
        <v>225000000</v>
      </c>
      <c r="H12" s="22">
        <f t="shared" ref="H12:H29" si="0">E12*G12</f>
        <v>450000000</v>
      </c>
      <c r="I12" s="22">
        <f>SUMIF(Detail!$B$4:$B$21,'Summary V.2 (2)'!B12,Detail!$H$4:$H$21)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7" si="3">SUM(N12:S12)</f>
        <v>2</v>
      </c>
      <c r="V12" s="23">
        <f t="shared" ref="V12:V27" si="4">E12-U12</f>
        <v>0</v>
      </c>
      <c r="W12" s="22">
        <f t="shared" ref="W12:W26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V.2 (2)'!$B13,Detail!$E$4:$E$21)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V.2 (2)'!B13,Detail!$H$4:$H$21)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V.2 (2)'!$B14,Detail!$E$4:$E$21)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V.2 (2)'!B14,Detail!$H$4:$H$21)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V.2 (2)'!$B15,Detail!$E$4:$E$21)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V.2 (2)'!B15,Detail!$H$4:$H$21)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V.2 (2)'!$B16,Detail!$E$4:$E$21)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V.2 (2)'!B16,Detail!$H$4:$H$21)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V.2 (2)'!$B17,Detail!$E$4:$E$21)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V.2 (2)'!B17,Detail!$H$4:$H$21)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V.2 (2)'!$B18,Detail!$E$4:$E$21)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V.2 (2)'!B18,Detail!$H$4:$H$21)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V.2 (2)'!$B19,Detail!$E$4:$E$25)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V.2 (2)'!B19,Detail!$H$4:$H$25)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V.2 (2)'!$B20,Detail!$E$4:$E$25)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V.2 (2)'!B20,Detail!$H$4:$H$25)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34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7" si="11">Y20+7</f>
        <v>45930</v>
      </c>
      <c r="AA20" s="136">
        <f t="shared" ref="AA20:AA27" si="12">Z20+30</f>
        <v>45960</v>
      </c>
      <c r="AB20" s="136">
        <f t="shared" ref="AB20:AB27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34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:J33" si="15">(I23*20%)/E23</f>
        <v>68500000</v>
      </c>
      <c r="K23" s="134">
        <f t="shared" ref="K23:K26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si="0"/>
        <v>450000000</v>
      </c>
      <c r="I24" s="133">
        <f t="shared" si="14"/>
        <v>225000000</v>
      </c>
      <c r="J24" s="133">
        <f t="shared" si="15"/>
        <v>22500000</v>
      </c>
      <c r="K24" s="134">
        <f t="shared" si="16"/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si="3"/>
        <v>2</v>
      </c>
      <c r="V24" s="134">
        <f t="shared" si="4"/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0"/>
        <v>2231048200</v>
      </c>
      <c r="I25" s="133">
        <f t="shared" si="14"/>
        <v>1115524100</v>
      </c>
      <c r="J25" s="133">
        <f t="shared" si="15"/>
        <v>223104820</v>
      </c>
      <c r="K25" s="134">
        <f t="shared" si="16"/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3"/>
        <v>1</v>
      </c>
      <c r="V25" s="134">
        <f t="shared" si="4"/>
        <v>0</v>
      </c>
      <c r="W25" s="133">
        <f t="shared" si="5"/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176" customFormat="1" x14ac:dyDescent="0.25">
      <c r="A26" s="169">
        <v>15</v>
      </c>
      <c r="B26" s="169">
        <f>Detail!$B$58</f>
        <v>5200778319</v>
      </c>
      <c r="C26" s="170">
        <v>45909</v>
      </c>
      <c r="D26" s="171" t="str">
        <f>Detail!$D$58</f>
        <v>Top Frame 800</v>
      </c>
      <c r="E26" s="172">
        <v>2</v>
      </c>
      <c r="F26" s="172"/>
      <c r="G26" s="172">
        <f>Detail!$F$58</f>
        <v>225000000</v>
      </c>
      <c r="H26" s="172">
        <f t="shared" si="0"/>
        <v>450000000</v>
      </c>
      <c r="I26" s="172">
        <f t="shared" si="14"/>
        <v>225000000</v>
      </c>
      <c r="J26" s="172">
        <f t="shared" si="15"/>
        <v>22500000</v>
      </c>
      <c r="K26" s="173">
        <f t="shared" si="16"/>
        <v>45000000</v>
      </c>
      <c r="L26" s="173"/>
      <c r="M26" s="173">
        <f t="shared" si="10"/>
        <v>45000000</v>
      </c>
      <c r="N26" s="171"/>
      <c r="O26" s="173"/>
      <c r="P26" s="171">
        <v>2</v>
      </c>
      <c r="Q26" s="171"/>
      <c r="R26" s="171"/>
      <c r="S26" s="171"/>
      <c r="T26" s="171"/>
      <c r="U26" s="173">
        <f t="shared" si="3"/>
        <v>2</v>
      </c>
      <c r="V26" s="173">
        <f t="shared" si="4"/>
        <v>0</v>
      </c>
      <c r="W26" s="172">
        <f t="shared" si="5"/>
        <v>45000000</v>
      </c>
      <c r="X26" s="173">
        <f t="shared" si="6"/>
        <v>0</v>
      </c>
      <c r="Y26" s="174">
        <v>45940</v>
      </c>
      <c r="Z26" s="174">
        <f t="shared" si="11"/>
        <v>45947</v>
      </c>
      <c r="AA26" s="174">
        <f t="shared" si="12"/>
        <v>45977</v>
      </c>
      <c r="AB26" s="175">
        <f t="shared" si="13"/>
        <v>46007</v>
      </c>
      <c r="AC26" s="171" t="s">
        <v>69</v>
      </c>
      <c r="AD26" s="171"/>
      <c r="AF26" s="177">
        <f>VLOOKUP(B26,investasi!$B$23:$G$26,6,0)</f>
        <v>45000000</v>
      </c>
      <c r="AG26" s="178">
        <f>M26</f>
        <v>45000000</v>
      </c>
      <c r="AH26" s="178">
        <f t="shared" si="9"/>
        <v>0</v>
      </c>
    </row>
    <row r="27" spans="1:35" s="176" customFormat="1" x14ac:dyDescent="0.25">
      <c r="A27" s="169">
        <v>16</v>
      </c>
      <c r="B27" s="169">
        <v>5200778328</v>
      </c>
      <c r="C27" s="170">
        <v>45915</v>
      </c>
      <c r="D27" s="171" t="s">
        <v>61</v>
      </c>
      <c r="E27" s="172">
        <v>1</v>
      </c>
      <c r="F27" s="172"/>
      <c r="G27" s="172">
        <f>Detail!F59</f>
        <v>685000000</v>
      </c>
      <c r="H27" s="172">
        <f t="shared" si="0"/>
        <v>685000000</v>
      </c>
      <c r="I27" s="172">
        <f t="shared" si="14"/>
        <v>342500000</v>
      </c>
      <c r="J27" s="172">
        <f t="shared" si="15"/>
        <v>68500000</v>
      </c>
      <c r="K27" s="173">
        <f>(I27*20%)+F27</f>
        <v>68500000</v>
      </c>
      <c r="L27" s="173">
        <v>66261000</v>
      </c>
      <c r="M27" s="173">
        <f t="shared" si="10"/>
        <v>134761000</v>
      </c>
      <c r="N27" s="171"/>
      <c r="O27" s="173"/>
      <c r="P27" s="171">
        <v>1</v>
      </c>
      <c r="Q27" s="171"/>
      <c r="R27" s="171"/>
      <c r="S27" s="171"/>
      <c r="T27" s="171"/>
      <c r="U27" s="173">
        <f t="shared" si="3"/>
        <v>1</v>
      </c>
      <c r="V27" s="173">
        <f t="shared" si="4"/>
        <v>0</v>
      </c>
      <c r="W27" s="172">
        <f>J27*U27+L27</f>
        <v>134761000</v>
      </c>
      <c r="X27" s="173">
        <f>K27+L27-W27</f>
        <v>0</v>
      </c>
      <c r="Y27" s="174">
        <v>45940</v>
      </c>
      <c r="Z27" s="174">
        <f t="shared" si="11"/>
        <v>45947</v>
      </c>
      <c r="AA27" s="174">
        <f t="shared" si="12"/>
        <v>45977</v>
      </c>
      <c r="AB27" s="175">
        <f t="shared" si="13"/>
        <v>46007</v>
      </c>
      <c r="AC27" s="171" t="s">
        <v>69</v>
      </c>
      <c r="AD27" s="171"/>
      <c r="AF27" s="177">
        <f>VLOOKUP(B27,investasi!$B$23:$G$26,6,0)+investasi!I24</f>
        <v>134761000</v>
      </c>
      <c r="AG27" s="178">
        <f t="shared" si="8"/>
        <v>134761000</v>
      </c>
      <c r="AH27" s="178">
        <f t="shared" si="9"/>
        <v>0</v>
      </c>
    </row>
    <row r="28" spans="1:35" s="176" customFormat="1" x14ac:dyDescent="0.25">
      <c r="A28" s="169"/>
      <c r="B28" s="169"/>
      <c r="C28" s="170"/>
      <c r="D28" s="171"/>
      <c r="E28" s="172"/>
      <c r="F28" s="172"/>
      <c r="G28" s="172"/>
      <c r="H28" s="172"/>
      <c r="I28" s="172"/>
      <c r="J28" s="172"/>
      <c r="K28" s="173"/>
      <c r="L28" s="173"/>
      <c r="M28" s="173"/>
      <c r="N28" s="171"/>
      <c r="O28" s="173"/>
      <c r="P28" s="171"/>
      <c r="Q28" s="171"/>
      <c r="R28" s="171"/>
      <c r="S28" s="171"/>
      <c r="T28" s="171"/>
      <c r="U28" s="173"/>
      <c r="V28" s="173"/>
      <c r="W28" s="172"/>
      <c r="X28" s="173"/>
      <c r="Y28" s="174"/>
      <c r="Z28" s="174"/>
      <c r="AA28" s="174"/>
      <c r="AB28" s="175"/>
      <c r="AC28" s="171"/>
      <c r="AD28" s="171"/>
      <c r="AF28" s="177"/>
      <c r="AG28" s="178"/>
    </row>
    <row r="29" spans="1:35" s="176" customFormat="1" ht="14.25" customHeight="1" x14ac:dyDescent="0.25">
      <c r="A29" s="169">
        <v>18</v>
      </c>
      <c r="B29" s="169">
        <f>Detail!B60</f>
        <v>5200779815</v>
      </c>
      <c r="C29" s="170">
        <v>45965</v>
      </c>
      <c r="D29" s="171" t="s">
        <v>61</v>
      </c>
      <c r="E29" s="172">
        <v>1</v>
      </c>
      <c r="F29" s="172"/>
      <c r="G29" s="172">
        <f>Detail!F60</f>
        <v>685000000</v>
      </c>
      <c r="H29" s="172">
        <f t="shared" si="0"/>
        <v>685000000</v>
      </c>
      <c r="I29" s="172">
        <f t="shared" si="14"/>
        <v>342500000</v>
      </c>
      <c r="J29" s="172">
        <f t="shared" si="15"/>
        <v>68500000</v>
      </c>
      <c r="K29" s="173">
        <f>(I29*20%)+F29</f>
        <v>68500000</v>
      </c>
      <c r="L29" s="173">
        <v>66261000</v>
      </c>
      <c r="M29" s="173">
        <f t="shared" si="10"/>
        <v>134761000</v>
      </c>
      <c r="N29" s="171"/>
      <c r="O29" s="173"/>
      <c r="P29" s="171"/>
      <c r="Q29" s="171"/>
      <c r="R29" s="171"/>
      <c r="S29" s="171"/>
      <c r="T29" s="171"/>
      <c r="U29" s="173"/>
      <c r="V29" s="173"/>
      <c r="W29" s="172"/>
      <c r="X29" s="173">
        <f>K29+L29-W29</f>
        <v>134761000</v>
      </c>
      <c r="Y29" s="175"/>
      <c r="Z29" s="175"/>
      <c r="AA29" s="175"/>
      <c r="AB29" s="175"/>
      <c r="AC29" s="171" t="s">
        <v>65</v>
      </c>
      <c r="AD29" s="171"/>
      <c r="AF29" s="177">
        <f>VLOOKUP(B29,investasi!$B$23:$G$26,6,0)+investasi!I26</f>
        <v>134761000</v>
      </c>
      <c r="AG29" s="178">
        <f t="shared" si="8"/>
        <v>134761000</v>
      </c>
      <c r="AH29" s="178">
        <f t="shared" si="9"/>
        <v>0</v>
      </c>
    </row>
    <row r="30" spans="1:35" ht="14.25" customHeight="1" x14ac:dyDescent="0.25">
      <c r="A30" s="31">
        <f>A29+1</f>
        <v>19</v>
      </c>
      <c r="B30" s="31">
        <v>5200988854</v>
      </c>
      <c r="C30" s="16">
        <v>45977</v>
      </c>
      <c r="D30" s="4" t="s">
        <v>114</v>
      </c>
      <c r="E30" s="78">
        <v>150</v>
      </c>
      <c r="F30" s="78"/>
      <c r="G30" s="78">
        <v>4990500</v>
      </c>
      <c r="H30" s="78">
        <f>E30*G30</f>
        <v>748575000</v>
      </c>
      <c r="I30" s="78">
        <f t="shared" si="14"/>
        <v>374287500</v>
      </c>
      <c r="J30" s="78">
        <f t="shared" si="15"/>
        <v>499050</v>
      </c>
      <c r="K30" s="7">
        <f>(I30*20%)+F30</f>
        <v>74857500</v>
      </c>
      <c r="L30" s="7"/>
      <c r="M30" s="7">
        <f t="shared" si="10"/>
        <v>74857500</v>
      </c>
      <c r="N30" s="4"/>
      <c r="O30" s="7"/>
      <c r="P30" s="4"/>
      <c r="Q30" s="4"/>
      <c r="R30" s="4"/>
      <c r="S30" s="4"/>
      <c r="T30" s="4"/>
      <c r="U30" s="7"/>
      <c r="V30" s="7"/>
      <c r="W30" s="78"/>
      <c r="X30" s="7">
        <f>K30+L30-W30</f>
        <v>74857500</v>
      </c>
      <c r="Y30" s="27"/>
      <c r="Z30" s="27"/>
      <c r="AA30" s="27"/>
      <c r="AB30" s="27"/>
      <c r="AC30" s="4" t="s">
        <v>65</v>
      </c>
      <c r="AD30" s="4"/>
      <c r="AF30" s="82"/>
      <c r="AG30" s="2"/>
      <c r="AH30" s="2"/>
    </row>
    <row r="31" spans="1:35" ht="14.25" customHeight="1" x14ac:dyDescent="0.25">
      <c r="A31" s="31">
        <f t="shared" ref="A31:A33" si="17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18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19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/>
      <c r="V31" s="7"/>
      <c r="W31" s="78"/>
      <c r="X31" s="7">
        <f t="shared" ref="X31:X34" si="20">K31+L31-W31</f>
        <v>211000000</v>
      </c>
      <c r="Y31" s="27"/>
      <c r="Z31" s="27"/>
      <c r="AA31" s="27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17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18"/>
        <v>2110000000</v>
      </c>
      <c r="I32" s="78">
        <f t="shared" si="14"/>
        <v>1055000000</v>
      </c>
      <c r="J32" s="78">
        <f t="shared" si="15"/>
        <v>2110000</v>
      </c>
      <c r="K32" s="7">
        <f t="shared" si="19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/>
      <c r="V32" s="7"/>
      <c r="W32" s="78"/>
      <c r="X32" s="7">
        <f t="shared" si="20"/>
        <v>211000000</v>
      </c>
      <c r="Y32" s="27"/>
      <c r="Z32" s="27"/>
      <c r="AA32" s="27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17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18"/>
        <v>2321000000</v>
      </c>
      <c r="I33" s="78">
        <f t="shared" si="14"/>
        <v>1160500000</v>
      </c>
      <c r="J33" s="78">
        <f t="shared" si="15"/>
        <v>2110000</v>
      </c>
      <c r="K33" s="7">
        <f t="shared" si="19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/>
      <c r="V33" s="7"/>
      <c r="W33" s="78"/>
      <c r="X33" s="7">
        <f t="shared" si="20"/>
        <v>232100000</v>
      </c>
      <c r="Y33" s="27"/>
      <c r="Z33" s="27"/>
      <c r="AA33" s="27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/>
      <c r="B34" s="163" t="s">
        <v>132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18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/>
      <c r="V34" s="7"/>
      <c r="W34" s="78"/>
      <c r="X34" s="7">
        <f t="shared" si="20"/>
        <v>76500000</v>
      </c>
      <c r="Y34" s="27"/>
      <c r="Z34" s="27"/>
      <c r="AA34" s="27"/>
      <c r="AB34" s="27"/>
      <c r="AC34" s="4" t="s">
        <v>65</v>
      </c>
      <c r="AD34" s="4"/>
      <c r="AF34" s="82"/>
      <c r="AG34" s="2"/>
      <c r="AH34" s="2"/>
    </row>
    <row r="35" spans="1:34" ht="15.75" thickBot="1" x14ac:dyDescent="0.3">
      <c r="A35" s="29"/>
      <c r="C35" s="15"/>
      <c r="D35" s="15"/>
      <c r="E35" s="79"/>
      <c r="F35" s="79"/>
      <c r="G35" s="79"/>
      <c r="H35" s="79"/>
      <c r="I35" s="79"/>
      <c r="J35" s="79"/>
      <c r="K35" s="2"/>
      <c r="L35" s="2"/>
      <c r="M35" s="2"/>
      <c r="O35" s="2"/>
      <c r="U35" s="2"/>
      <c r="V35" s="2"/>
      <c r="W35" s="79"/>
      <c r="X35" s="2"/>
      <c r="Y35" s="2"/>
    </row>
    <row r="36" spans="1:34" ht="15.75" thickBot="1" x14ac:dyDescent="0.3">
      <c r="B36" s="32" t="s">
        <v>51</v>
      </c>
      <c r="C36" s="18"/>
      <c r="D36" s="18"/>
      <c r="E36" s="18"/>
      <c r="F36" s="18"/>
      <c r="G36" s="18"/>
      <c r="H36" s="18"/>
      <c r="I36" s="19">
        <f>SUM(I12:I34)</f>
        <v>10170486100</v>
      </c>
      <c r="J36" s="18"/>
      <c r="K36" s="19">
        <f>SUM(K12:K34)</f>
        <v>2043576970</v>
      </c>
      <c r="L36" s="19">
        <f>SUM(L12:L34)</f>
        <v>132522000</v>
      </c>
      <c r="M36" s="19">
        <f>SUM(M12:M34)</f>
        <v>2176098970</v>
      </c>
      <c r="N36" s="18"/>
      <c r="O36" s="18"/>
      <c r="P36" s="18"/>
      <c r="Q36" s="18"/>
      <c r="R36" s="18"/>
      <c r="S36" s="18"/>
      <c r="T36" s="18"/>
      <c r="U36" s="18"/>
      <c r="V36" s="18"/>
      <c r="W36" s="19">
        <f>SUM(W12:W34)</f>
        <v>1235880470</v>
      </c>
      <c r="X36" s="19">
        <f>SUM(X12:X34)</f>
        <v>940218500</v>
      </c>
      <c r="Y36" s="24"/>
    </row>
    <row r="37" spans="1:34" x14ac:dyDescent="0.25">
      <c r="E37" s="9"/>
      <c r="F37" s="9"/>
      <c r="G37" s="9"/>
      <c r="H37" s="9"/>
      <c r="I37" s="9"/>
      <c r="J37" s="9"/>
      <c r="K37" s="9"/>
      <c r="L37" s="9"/>
      <c r="M37" s="9"/>
      <c r="X37" s="2">
        <f>W36+X36-H49</f>
        <v>805457500</v>
      </c>
    </row>
    <row r="38" spans="1:34" x14ac:dyDescent="0.25">
      <c r="E38" s="9" t="s">
        <v>36</v>
      </c>
      <c r="F38" s="9"/>
      <c r="G38" s="9" t="s">
        <v>37</v>
      </c>
      <c r="H38" s="9" t="s">
        <v>38</v>
      </c>
      <c r="I38" s="9" t="s">
        <v>39</v>
      </c>
      <c r="J38" s="9" t="s">
        <v>40</v>
      </c>
      <c r="K38" s="9" t="s">
        <v>41</v>
      </c>
      <c r="L38" s="9"/>
      <c r="M38" s="9"/>
    </row>
    <row r="39" spans="1:34" ht="30" x14ac:dyDescent="0.25">
      <c r="E39" s="10" t="s">
        <v>32</v>
      </c>
      <c r="F39" s="11" t="s">
        <v>46</v>
      </c>
      <c r="G39" s="10" t="s">
        <v>8</v>
      </c>
      <c r="H39" s="11" t="s">
        <v>71</v>
      </c>
      <c r="I39" s="12" t="s">
        <v>42</v>
      </c>
      <c r="J39" s="12" t="s">
        <v>133</v>
      </c>
      <c r="K39" s="13" t="s">
        <v>30</v>
      </c>
      <c r="L39" s="33"/>
      <c r="M39" s="33"/>
    </row>
    <row r="40" spans="1:34" x14ac:dyDescent="0.25">
      <c r="E40" s="5">
        <v>45839</v>
      </c>
      <c r="F40" s="7">
        <f>SUM(I12:I14)</f>
        <v>900000000</v>
      </c>
      <c r="G40" s="7">
        <f>SUM(W12:W14)</f>
        <v>180000000</v>
      </c>
      <c r="H40" s="6"/>
      <c r="I40" s="6"/>
      <c r="J40" s="6"/>
      <c r="K40" s="7">
        <f>F40+G40</f>
        <v>1080000000</v>
      </c>
      <c r="L40" s="2"/>
      <c r="M40" s="2"/>
      <c r="X40" s="2">
        <f>SUM(I26:I29,AG26:AG29)</f>
        <v>1224522000</v>
      </c>
    </row>
    <row r="41" spans="1:34" x14ac:dyDescent="0.25">
      <c r="E41" s="5">
        <v>45870</v>
      </c>
      <c r="F41" s="7">
        <f>SUM(I15:I18)</f>
        <v>1125000000</v>
      </c>
      <c r="G41" s="7">
        <f>SUM(W15:W18)</f>
        <v>225000000</v>
      </c>
      <c r="H41" s="7"/>
      <c r="I41" s="7">
        <f>SUM(I19:I22)</f>
        <v>1606174500</v>
      </c>
      <c r="J41" s="7"/>
      <c r="K41" s="7">
        <f>K40+F41+G41+H41-I41-J41</f>
        <v>823825500</v>
      </c>
      <c r="L41" s="2"/>
      <c r="M41" s="2"/>
    </row>
    <row r="42" spans="1:34" x14ac:dyDescent="0.25">
      <c r="E42" s="5">
        <v>45901</v>
      </c>
      <c r="F42" s="7">
        <v>1426698600</v>
      </c>
      <c r="G42" s="7"/>
      <c r="H42" s="7"/>
      <c r="I42" s="7">
        <f>SUM(I23:I27)</f>
        <v>2250524100</v>
      </c>
      <c r="J42" s="7"/>
      <c r="K42" s="7">
        <f>K41+F42+G42+H42-I42</f>
        <v>0</v>
      </c>
      <c r="L42" s="2"/>
      <c r="M42" s="2"/>
    </row>
    <row r="43" spans="1:34" x14ac:dyDescent="0.25">
      <c r="E43" s="5">
        <v>45931</v>
      </c>
      <c r="F43" s="7"/>
      <c r="G43" s="7"/>
      <c r="H43" s="7"/>
      <c r="I43" s="7">
        <f>I29+I28</f>
        <v>342500000</v>
      </c>
      <c r="J43" s="7"/>
      <c r="K43" s="7">
        <f>K42+F43+G43+H43-I43</f>
        <v>-342500000</v>
      </c>
      <c r="L43" s="2"/>
      <c r="M43" s="2"/>
    </row>
    <row r="44" spans="1:34" x14ac:dyDescent="0.25">
      <c r="E44" s="5">
        <v>45962</v>
      </c>
      <c r="F44" s="7"/>
      <c r="G44" s="7">
        <f>SUM(M19:M29)</f>
        <v>965641470</v>
      </c>
      <c r="H44" s="7"/>
      <c r="I44" s="7">
        <f>-SUM(I19:I29)</f>
        <v>-4199198600</v>
      </c>
      <c r="J44" s="7">
        <v>1105000000</v>
      </c>
      <c r="K44" s="7">
        <f>K43+F44+G44+H44-I44-J44</f>
        <v>3717340070</v>
      </c>
      <c r="L44" s="2"/>
      <c r="M44" s="2"/>
    </row>
    <row r="45" spans="1:34" x14ac:dyDescent="0.25">
      <c r="E45" s="5">
        <v>45992</v>
      </c>
      <c r="F45" s="7"/>
      <c r="G45" s="7"/>
      <c r="H45" s="7"/>
      <c r="I45" s="7"/>
      <c r="J45" s="7"/>
      <c r="K45" s="7">
        <f>K44+F45+G45+H45-I45-J45</f>
        <v>3717340070</v>
      </c>
      <c r="L45" s="2"/>
      <c r="M45" s="2"/>
      <c r="P45" s="1"/>
    </row>
    <row r="46" spans="1:34" x14ac:dyDescent="0.25">
      <c r="E46" s="4"/>
      <c r="F46" s="8">
        <f>SUM(F40:F45)</f>
        <v>3451698600</v>
      </c>
      <c r="G46" s="8">
        <f>SUM(G40:G45)</f>
        <v>1370641470</v>
      </c>
      <c r="H46" s="8">
        <f t="shared" ref="H46:J46" si="21">SUM(H40:H45)</f>
        <v>0</v>
      </c>
      <c r="I46" s="8">
        <f t="shared" si="21"/>
        <v>0</v>
      </c>
      <c r="J46" s="8">
        <f t="shared" si="21"/>
        <v>1105000000</v>
      </c>
      <c r="K46" s="8">
        <f>F46+G46+H46-I46-J46</f>
        <v>3717340070</v>
      </c>
      <c r="L46" s="24"/>
      <c r="M46" s="24"/>
      <c r="P46" s="2"/>
    </row>
    <row r="47" spans="1:34" x14ac:dyDescent="0.25">
      <c r="C47" s="2"/>
      <c r="D47" s="2"/>
      <c r="E47" s="2"/>
      <c r="F47" s="2"/>
      <c r="G47" s="2"/>
      <c r="H47" s="2"/>
    </row>
    <row r="48" spans="1:34" x14ac:dyDescent="0.25">
      <c r="E48" s="167" t="s">
        <v>47</v>
      </c>
      <c r="F48" s="167"/>
      <c r="G48" s="167"/>
      <c r="H48" s="168">
        <f>F46</f>
        <v>3451698600</v>
      </c>
      <c r="K48" s="2"/>
    </row>
    <row r="49" spans="2:22" x14ac:dyDescent="0.25">
      <c r="E49" s="167" t="s">
        <v>8</v>
      </c>
      <c r="F49" s="167"/>
      <c r="G49" s="167"/>
      <c r="H49" s="168">
        <f>G46</f>
        <v>1370641470</v>
      </c>
      <c r="J49" s="4" t="s">
        <v>134</v>
      </c>
      <c r="K49" s="7">
        <f>K46</f>
        <v>3717340070</v>
      </c>
      <c r="L49" s="2">
        <f>K49-K46</f>
        <v>0</v>
      </c>
    </row>
    <row r="50" spans="2:22" x14ac:dyDescent="0.25">
      <c r="E50" s="167" t="s">
        <v>48</v>
      </c>
      <c r="F50" s="167"/>
      <c r="G50" s="167"/>
      <c r="H50" s="168">
        <f>-I46</f>
        <v>0</v>
      </c>
      <c r="J50" s="6" t="s">
        <v>135</v>
      </c>
      <c r="K50" s="6"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167" t="s">
        <v>133</v>
      </c>
      <c r="F51" s="167"/>
      <c r="G51" s="167"/>
      <c r="H51" s="168">
        <f>-J46</f>
        <v>-1105000000</v>
      </c>
      <c r="J51" s="77" t="s">
        <v>136</v>
      </c>
      <c r="K51" s="77">
        <f>K49+K50</f>
        <v>3717340070</v>
      </c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2" x14ac:dyDescent="0.25">
      <c r="E52" s="167" t="s">
        <v>30</v>
      </c>
      <c r="F52" s="167"/>
      <c r="G52" s="167"/>
      <c r="H52" s="168">
        <f>H48+H49+H50+H51</f>
        <v>3717340070</v>
      </c>
      <c r="J52" s="4" t="s">
        <v>137</v>
      </c>
      <c r="K52" s="7">
        <v>3000000000</v>
      </c>
      <c r="U52" s="2"/>
    </row>
    <row r="53" spans="2:22" x14ac:dyDescent="0.25">
      <c r="B53" s="29" t="s">
        <v>73</v>
      </c>
      <c r="C53" s="1">
        <f>G46</f>
        <v>1370641470</v>
      </c>
      <c r="J53" s="164" t="s">
        <v>138</v>
      </c>
      <c r="K53" s="165">
        <f>K51-K52</f>
        <v>717340070</v>
      </c>
      <c r="U53" s="24"/>
    </row>
    <row r="54" spans="2:22" x14ac:dyDescent="0.25">
      <c r="B54" s="29" t="s">
        <v>74</v>
      </c>
      <c r="C54" s="1">
        <f>SUM(W19:X27)</f>
        <v>830880470</v>
      </c>
      <c r="I54" s="28"/>
      <c r="J54" t="s">
        <v>42</v>
      </c>
      <c r="K54" s="2">
        <f>SUM(I30:I34)</f>
        <v>3946287500</v>
      </c>
      <c r="U54" s="2"/>
    </row>
    <row r="55" spans="2:22" x14ac:dyDescent="0.25">
      <c r="B55" s="28" t="s">
        <v>72</v>
      </c>
      <c r="C55" s="48">
        <f>SUM(C53:C54)</f>
        <v>2201521940</v>
      </c>
      <c r="E55" s="80"/>
      <c r="H55" s="24"/>
      <c r="J55" t="s">
        <v>143</v>
      </c>
      <c r="K55" s="1">
        <v>3000000000</v>
      </c>
      <c r="U55" s="2"/>
    </row>
    <row r="56" spans="2:22" x14ac:dyDescent="0.25">
      <c r="B56" s="29" t="s">
        <v>75</v>
      </c>
      <c r="C56" s="1">
        <v>-300000000</v>
      </c>
      <c r="J56" s="80" t="s">
        <v>109</v>
      </c>
      <c r="K56" s="24">
        <f>K54-K55-K53</f>
        <v>228947430</v>
      </c>
      <c r="U56" s="24"/>
      <c r="V56" s="2"/>
    </row>
    <row r="57" spans="2:22" x14ac:dyDescent="0.25">
      <c r="B57" s="28" t="s">
        <v>76</v>
      </c>
      <c r="C57" s="24">
        <f>C55+C56</f>
        <v>1901521940</v>
      </c>
      <c r="J57" s="166"/>
    </row>
    <row r="59" spans="2:22" x14ac:dyDescent="0.25">
      <c r="B59" s="29" t="s">
        <v>77</v>
      </c>
      <c r="C59" s="2">
        <f>C57-C53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F10:F11"/>
    <mergeCell ref="A10:A11"/>
    <mergeCell ref="B10:B11"/>
    <mergeCell ref="C10:C11"/>
    <mergeCell ref="D10:D11"/>
    <mergeCell ref="E10:E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8D3C-2F37-471E-85F3-9096D2DF865B}">
  <sheetPr>
    <tabColor rgb="FFFFFF00"/>
  </sheetPr>
  <dimension ref="A1:AI58"/>
  <sheetViews>
    <sheetView showGridLines="0" zoomScale="85" zoomScaleNormal="85" workbookViewId="0">
      <pane xSplit="5" ySplit="11" topLeftCell="G25" activePane="bottomRight" state="frozen"/>
      <selection activeCell="N13" sqref="N13"/>
      <selection pane="topRight" activeCell="N13" sqref="N13"/>
      <selection pane="bottomLeft" activeCell="N13" sqref="N13"/>
      <selection pane="bottomRight" activeCell="I43" sqref="I43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7" width="14.28515625" bestFit="1" customWidth="1"/>
    <col min="8" max="8" width="15.28515625" bestFit="1" customWidth="1"/>
    <col min="9" max="9" width="14.28515625" bestFit="1" customWidth="1"/>
    <col min="10" max="11" width="18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27" t="s">
        <v>23</v>
      </c>
      <c r="O10" s="327"/>
      <c r="P10" s="327"/>
      <c r="Q10" s="327"/>
      <c r="R10" s="327"/>
      <c r="S10" s="327"/>
      <c r="T10" s="25"/>
      <c r="U10" s="328" t="s">
        <v>52</v>
      </c>
      <c r="V10" s="328" t="s">
        <v>34</v>
      </c>
      <c r="W10" s="331" t="s">
        <v>8</v>
      </c>
      <c r="X10" s="328" t="s">
        <v>31</v>
      </c>
      <c r="Y10" s="333" t="s">
        <v>54</v>
      </c>
      <c r="Z10" s="331" t="s">
        <v>53</v>
      </c>
      <c r="AA10" s="333" t="s">
        <v>80</v>
      </c>
      <c r="AB10" s="333" t="s">
        <v>82</v>
      </c>
      <c r="AC10" s="325" t="s">
        <v>62</v>
      </c>
      <c r="AD10" s="325" t="s">
        <v>66</v>
      </c>
      <c r="AF10" s="320" t="s">
        <v>126</v>
      </c>
      <c r="AG10" s="335" t="s">
        <v>127</v>
      </c>
      <c r="AH10" s="320" t="s">
        <v>110</v>
      </c>
    </row>
    <row r="11" spans="1:34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29"/>
      <c r="V11" s="330"/>
      <c r="W11" s="332"/>
      <c r="X11" s="330"/>
      <c r="Y11" s="334"/>
      <c r="Z11" s="332"/>
      <c r="AA11" s="334"/>
      <c r="AB11" s="334"/>
      <c r="AC11" s="325"/>
      <c r="AD11" s="325" t="s">
        <v>66</v>
      </c>
      <c r="AF11" s="320"/>
      <c r="AG11" s="335"/>
      <c r="AH11" s="320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V.3'!$B12,Detail!$E$4:$E$21)</f>
        <v>2</v>
      </c>
      <c r="F12" s="22"/>
      <c r="G12" s="22">
        <f>VLOOKUP($B12,Detail!$B$4:$Q$21,5,0)</f>
        <v>225000000</v>
      </c>
      <c r="H12" s="22">
        <f t="shared" ref="H12:H29" si="0">E12*G12</f>
        <v>450000000</v>
      </c>
      <c r="I12" s="22">
        <f>SUMIF(Detail!$B$4:$B$21,'Summary V.3'!B12,Detail!$H$4:$H$21)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7" si="3">SUM(N12:S12)</f>
        <v>2</v>
      </c>
      <c r="V12" s="23">
        <f t="shared" ref="V12:V27" si="4">E12-U12</f>
        <v>0</v>
      </c>
      <c r="W12" s="22">
        <f t="shared" ref="W12:W26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V.3'!$B13,Detail!$E$4:$E$21)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V.3'!B13,Detail!$H$4:$H$21)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V.3'!$B14,Detail!$E$4:$E$21)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V.3'!B14,Detail!$H$4:$H$21)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V.3'!$B15,Detail!$E$4:$E$21)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V.3'!B15,Detail!$H$4:$H$21)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V.3'!$B16,Detail!$E$4:$E$21)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V.3'!B16,Detail!$H$4:$H$21)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V.3'!$B17,Detail!$E$4:$E$21)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V.3'!B17,Detail!$H$4:$H$21)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V.3'!$B18,Detail!$E$4:$E$21)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V.3'!B18,Detail!$H$4:$H$21)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V.3'!$B19,Detail!$E$4:$E$25)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V.3'!B19,Detail!$H$4:$H$25)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V.3'!$B20,Detail!$E$4:$E$25)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V.3'!B20,Detail!$H$4:$H$25)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29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7" si="11">Y20+7</f>
        <v>45930</v>
      </c>
      <c r="AA20" s="136">
        <f t="shared" ref="AA20:AA27" si="12">Z20+30</f>
        <v>45960</v>
      </c>
      <c r="AB20" s="136">
        <f t="shared" ref="AB20:AB27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29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:J29" si="15">(I23*20%)/E23</f>
        <v>68500000</v>
      </c>
      <c r="K23" s="134">
        <f t="shared" ref="K23:K26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si="0"/>
        <v>450000000</v>
      </c>
      <c r="I24" s="133">
        <f t="shared" si="14"/>
        <v>225000000</v>
      </c>
      <c r="J24" s="133">
        <f t="shared" si="15"/>
        <v>22500000</v>
      </c>
      <c r="K24" s="134">
        <f t="shared" si="16"/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si="3"/>
        <v>2</v>
      </c>
      <c r="V24" s="134">
        <f t="shared" si="4"/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0"/>
        <v>2231048200</v>
      </c>
      <c r="I25" s="133">
        <f t="shared" si="14"/>
        <v>1115524100</v>
      </c>
      <c r="J25" s="133">
        <f t="shared" si="15"/>
        <v>223104820</v>
      </c>
      <c r="K25" s="134">
        <f t="shared" si="16"/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3"/>
        <v>1</v>
      </c>
      <c r="V25" s="134">
        <f t="shared" si="4"/>
        <v>0</v>
      </c>
      <c r="W25" s="133">
        <f t="shared" si="5"/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40" customFormat="1" x14ac:dyDescent="0.25">
      <c r="A26" s="34">
        <v>15</v>
      </c>
      <c r="B26" s="34">
        <f>Detail!$B$58</f>
        <v>5200778319</v>
      </c>
      <c r="C26" s="35">
        <v>45909</v>
      </c>
      <c r="D26" s="36" t="str">
        <f>Detail!$D$58</f>
        <v>Top Frame 800</v>
      </c>
      <c r="E26" s="37">
        <v>2</v>
      </c>
      <c r="F26" s="37"/>
      <c r="G26" s="37">
        <f>Detail!$F$58</f>
        <v>225000000</v>
      </c>
      <c r="H26" s="37">
        <f t="shared" si="0"/>
        <v>450000000</v>
      </c>
      <c r="I26" s="37">
        <f t="shared" si="14"/>
        <v>225000000</v>
      </c>
      <c r="J26" s="37">
        <f t="shared" si="15"/>
        <v>22500000</v>
      </c>
      <c r="K26" s="38">
        <f t="shared" si="16"/>
        <v>45000000</v>
      </c>
      <c r="L26" s="38"/>
      <c r="M26" s="38">
        <f t="shared" si="10"/>
        <v>45000000</v>
      </c>
      <c r="N26" s="36"/>
      <c r="O26" s="38"/>
      <c r="P26" s="36">
        <v>2</v>
      </c>
      <c r="Q26" s="36"/>
      <c r="R26" s="36"/>
      <c r="S26" s="36"/>
      <c r="T26" s="36"/>
      <c r="U26" s="38">
        <f t="shared" si="3"/>
        <v>2</v>
      </c>
      <c r="V26" s="38">
        <f t="shared" si="4"/>
        <v>0</v>
      </c>
      <c r="W26" s="37">
        <f t="shared" si="5"/>
        <v>45000000</v>
      </c>
      <c r="X26" s="38">
        <f t="shared" si="6"/>
        <v>0</v>
      </c>
      <c r="Y26" s="41">
        <v>45940</v>
      </c>
      <c r="Z26" s="41">
        <f t="shared" si="11"/>
        <v>45947</v>
      </c>
      <c r="AA26" s="41">
        <f t="shared" si="12"/>
        <v>45977</v>
      </c>
      <c r="AB26" s="39">
        <f t="shared" si="13"/>
        <v>46007</v>
      </c>
      <c r="AC26" s="36" t="s">
        <v>69</v>
      </c>
      <c r="AD26" s="36"/>
      <c r="AF26" s="1">
        <f>VLOOKUP(B26,investasi!$B$23:$G$26,6,0)</f>
        <v>45000000</v>
      </c>
      <c r="AG26" s="2">
        <f>M26</f>
        <v>45000000</v>
      </c>
      <c r="AH26" s="139">
        <f t="shared" si="9"/>
        <v>0</v>
      </c>
    </row>
    <row r="27" spans="1:35" s="40" customFormat="1" x14ac:dyDescent="0.25">
      <c r="A27" s="34">
        <v>16</v>
      </c>
      <c r="B27" s="34">
        <v>5200778328</v>
      </c>
      <c r="C27" s="35">
        <v>45915</v>
      </c>
      <c r="D27" s="36" t="s">
        <v>61</v>
      </c>
      <c r="E27" s="37">
        <v>1</v>
      </c>
      <c r="F27" s="37"/>
      <c r="G27" s="37">
        <f>Detail!F59</f>
        <v>685000000</v>
      </c>
      <c r="H27" s="37">
        <f t="shared" si="0"/>
        <v>685000000</v>
      </c>
      <c r="I27" s="37">
        <f t="shared" si="14"/>
        <v>342500000</v>
      </c>
      <c r="J27" s="37">
        <f t="shared" si="15"/>
        <v>68500000</v>
      </c>
      <c r="K27" s="38">
        <f>(I27*20%)+F27</f>
        <v>68500000</v>
      </c>
      <c r="L27" s="38">
        <v>66261000</v>
      </c>
      <c r="M27" s="38">
        <f t="shared" si="10"/>
        <v>134761000</v>
      </c>
      <c r="N27" s="36"/>
      <c r="O27" s="38"/>
      <c r="P27" s="36">
        <v>1</v>
      </c>
      <c r="Q27" s="36"/>
      <c r="R27" s="36"/>
      <c r="S27" s="36"/>
      <c r="T27" s="36"/>
      <c r="U27" s="38">
        <f t="shared" si="3"/>
        <v>1</v>
      </c>
      <c r="V27" s="38">
        <f t="shared" si="4"/>
        <v>0</v>
      </c>
      <c r="W27" s="37">
        <f>J27*U27+L27</f>
        <v>134761000</v>
      </c>
      <c r="X27" s="38">
        <f>K27+L27-W27</f>
        <v>0</v>
      </c>
      <c r="Y27" s="41">
        <v>45940</v>
      </c>
      <c r="Z27" s="41">
        <f t="shared" si="11"/>
        <v>45947</v>
      </c>
      <c r="AA27" s="41">
        <f t="shared" si="12"/>
        <v>45977</v>
      </c>
      <c r="AB27" s="39">
        <f t="shared" si="13"/>
        <v>46007</v>
      </c>
      <c r="AC27" s="36" t="s">
        <v>69</v>
      </c>
      <c r="AD27" s="36"/>
      <c r="AF27" s="1">
        <f>VLOOKUP(B27,investasi!$B$23:$G$26,6,0)+investasi!I24</f>
        <v>134761000</v>
      </c>
      <c r="AG27" s="2">
        <f t="shared" si="8"/>
        <v>134761000</v>
      </c>
      <c r="AH27" s="139">
        <f t="shared" si="9"/>
        <v>0</v>
      </c>
    </row>
    <row r="28" spans="1:35" s="156" customFormat="1" x14ac:dyDescent="0.25">
      <c r="A28" s="149"/>
      <c r="B28" s="149"/>
      <c r="C28" s="150"/>
      <c r="D28" s="151"/>
      <c r="E28" s="152"/>
      <c r="F28" s="152"/>
      <c r="G28" s="152"/>
      <c r="H28" s="152"/>
      <c r="I28" s="152"/>
      <c r="J28" s="152"/>
      <c r="K28" s="153"/>
      <c r="L28" s="153"/>
      <c r="M28" s="153"/>
      <c r="N28" s="151"/>
      <c r="O28" s="153"/>
      <c r="P28" s="151"/>
      <c r="Q28" s="151"/>
      <c r="R28" s="151"/>
      <c r="S28" s="151"/>
      <c r="T28" s="151"/>
      <c r="U28" s="153"/>
      <c r="V28" s="153"/>
      <c r="W28" s="152"/>
      <c r="X28" s="153"/>
      <c r="Y28" s="154"/>
      <c r="Z28" s="154"/>
      <c r="AA28" s="154"/>
      <c r="AB28" s="155"/>
      <c r="AC28" s="151"/>
      <c r="AD28" s="151"/>
      <c r="AF28" s="157"/>
      <c r="AG28" s="158"/>
      <c r="AH28" s="158"/>
    </row>
    <row r="29" spans="1:35" ht="14.25" customHeight="1" x14ac:dyDescent="0.25">
      <c r="A29" s="31">
        <v>18</v>
      </c>
      <c r="B29" s="31">
        <f>Detail!B60</f>
        <v>5200779815</v>
      </c>
      <c r="C29" s="16">
        <v>45965</v>
      </c>
      <c r="D29" s="4" t="s">
        <v>61</v>
      </c>
      <c r="E29" s="78">
        <v>1</v>
      </c>
      <c r="F29" s="78"/>
      <c r="G29" s="78">
        <f>Detail!F60</f>
        <v>685000000</v>
      </c>
      <c r="H29" s="78">
        <f t="shared" si="0"/>
        <v>685000000</v>
      </c>
      <c r="I29" s="78">
        <f t="shared" si="14"/>
        <v>342500000</v>
      </c>
      <c r="J29" s="78">
        <f t="shared" si="15"/>
        <v>68500000</v>
      </c>
      <c r="K29" s="7">
        <f>(I29*20%)+F29</f>
        <v>68500000</v>
      </c>
      <c r="L29" s="7">
        <v>66261000</v>
      </c>
      <c r="M29" s="7">
        <f t="shared" si="10"/>
        <v>134761000</v>
      </c>
      <c r="N29" s="4"/>
      <c r="O29" s="7"/>
      <c r="P29" s="4"/>
      <c r="Q29" s="4"/>
      <c r="R29" s="4"/>
      <c r="S29" s="4"/>
      <c r="T29" s="4"/>
      <c r="U29" s="7"/>
      <c r="V29" s="7"/>
      <c r="W29" s="78"/>
      <c r="X29" s="7">
        <f>K29+L29-W29</f>
        <v>134761000</v>
      </c>
      <c r="Y29" s="27"/>
      <c r="Z29" s="27"/>
      <c r="AA29" s="27"/>
      <c r="AB29" s="27"/>
      <c r="AC29" s="4" t="s">
        <v>65</v>
      </c>
      <c r="AD29" s="4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31"/>
      <c r="C30" s="15"/>
      <c r="E30" s="79"/>
      <c r="F30" s="79"/>
      <c r="G30" s="79"/>
      <c r="H30" s="79"/>
      <c r="I30" s="79"/>
      <c r="J30" s="79"/>
      <c r="K30" s="2"/>
      <c r="L30" s="2"/>
      <c r="M30" s="2"/>
      <c r="O30" s="2"/>
      <c r="U30" s="2"/>
      <c r="V30" s="2"/>
      <c r="W30" s="79"/>
      <c r="X30" s="2"/>
      <c r="Y30" s="159"/>
      <c r="Z30" s="159"/>
      <c r="AA30" s="159"/>
      <c r="AB30" s="159"/>
      <c r="AF30" s="82"/>
      <c r="AG30" s="2"/>
      <c r="AH30" s="2"/>
    </row>
    <row r="31" spans="1:35" ht="14.25" customHeight="1" x14ac:dyDescent="0.25">
      <c r="A31" s="29"/>
      <c r="C31" s="15"/>
      <c r="E31" s="79"/>
      <c r="F31" s="79"/>
      <c r="G31" s="79"/>
      <c r="H31" s="79"/>
      <c r="I31" s="79"/>
      <c r="J31" s="79"/>
      <c r="K31" s="2"/>
      <c r="L31" s="2"/>
      <c r="M31" s="2"/>
      <c r="O31" s="2"/>
      <c r="U31" s="2"/>
      <c r="V31" s="2"/>
      <c r="W31" s="79"/>
      <c r="X31" s="2"/>
      <c r="Y31" s="159"/>
      <c r="Z31" s="159"/>
      <c r="AA31" s="159"/>
      <c r="AB31" s="159"/>
      <c r="AF31" s="82"/>
      <c r="AG31" s="2"/>
      <c r="AH31" s="2"/>
    </row>
    <row r="32" spans="1:35" ht="14.25" customHeight="1" x14ac:dyDescent="0.25">
      <c r="A32" s="29"/>
      <c r="C32" s="15"/>
      <c r="E32" s="79"/>
      <c r="F32" s="79"/>
      <c r="G32" s="79"/>
      <c r="H32" s="79"/>
      <c r="I32" s="79"/>
      <c r="J32" s="79"/>
      <c r="K32" s="2"/>
      <c r="L32" s="2"/>
      <c r="M32" s="2"/>
      <c r="O32" s="2"/>
      <c r="U32" s="2"/>
      <c r="V32" s="2"/>
      <c r="W32" s="79"/>
      <c r="X32" s="2"/>
      <c r="Y32" s="159"/>
      <c r="Z32" s="159"/>
      <c r="AA32" s="159"/>
      <c r="AB32" s="159"/>
      <c r="AF32" s="82"/>
      <c r="AG32" s="2"/>
      <c r="AH32" s="2"/>
    </row>
    <row r="33" spans="1:34" ht="14.25" customHeight="1" x14ac:dyDescent="0.25">
      <c r="A33" s="29"/>
      <c r="C33" s="15"/>
      <c r="E33" s="79"/>
      <c r="F33" s="79"/>
      <c r="G33" s="79"/>
      <c r="H33" s="79"/>
      <c r="I33" s="79"/>
      <c r="J33" s="79"/>
      <c r="K33" s="2"/>
      <c r="L33" s="2"/>
      <c r="M33" s="2"/>
      <c r="O33" s="2"/>
      <c r="U33" s="2"/>
      <c r="V33" s="2"/>
      <c r="W33" s="79"/>
      <c r="X33" s="2"/>
      <c r="Y33" s="159"/>
      <c r="Z33" s="159"/>
      <c r="AA33" s="159"/>
      <c r="AB33" s="159"/>
      <c r="AF33" s="82"/>
      <c r="AG33" s="2"/>
      <c r="AH33" s="2"/>
    </row>
    <row r="34" spans="1:34" ht="15.75" thickBot="1" x14ac:dyDescent="0.3">
      <c r="A34" s="29"/>
      <c r="C34" s="15"/>
      <c r="D34" s="15"/>
      <c r="E34" s="79"/>
      <c r="F34" s="79"/>
      <c r="G34" s="79"/>
      <c r="H34" s="79"/>
      <c r="I34" s="79"/>
      <c r="J34" s="79"/>
      <c r="K34" s="2"/>
      <c r="L34" s="2"/>
      <c r="M34" s="2"/>
      <c r="O34" s="2"/>
      <c r="U34" s="2"/>
      <c r="V34" s="2"/>
      <c r="W34" s="79"/>
      <c r="X34" s="2"/>
      <c r="Y34" s="2"/>
    </row>
    <row r="35" spans="1:34" ht="15.75" thickBot="1" x14ac:dyDescent="0.3">
      <c r="B35" s="32" t="s">
        <v>51</v>
      </c>
      <c r="C35" s="18"/>
      <c r="D35" s="18"/>
      <c r="E35" s="18"/>
      <c r="F35" s="18"/>
      <c r="G35" s="19">
        <f t="shared" ref="G35:M35" si="17">SUM(G12:G29)</f>
        <v>7826204700</v>
      </c>
      <c r="H35" s="19">
        <f t="shared" si="17"/>
        <v>12448397200</v>
      </c>
      <c r="I35" s="19">
        <f t="shared" si="17"/>
        <v>6224198600</v>
      </c>
      <c r="J35" s="19">
        <f t="shared" si="17"/>
        <v>783904457.5</v>
      </c>
      <c r="K35" s="19">
        <f t="shared" si="17"/>
        <v>1238119470</v>
      </c>
      <c r="L35" s="19">
        <f t="shared" si="17"/>
        <v>132522000</v>
      </c>
      <c r="M35" s="19">
        <f t="shared" si="17"/>
        <v>1370641470</v>
      </c>
      <c r="N35" s="18"/>
      <c r="O35" s="18"/>
      <c r="P35" s="18"/>
      <c r="Q35" s="18"/>
      <c r="R35" s="18"/>
      <c r="S35" s="18"/>
      <c r="T35" s="18"/>
      <c r="U35" s="18"/>
      <c r="V35" s="18"/>
      <c r="W35" s="19">
        <f>SUM(W12:W27)</f>
        <v>1235880470</v>
      </c>
      <c r="X35" s="19">
        <f>SUM(X12:X29)</f>
        <v>134761000</v>
      </c>
      <c r="Y35" s="24"/>
    </row>
    <row r="36" spans="1:34" x14ac:dyDescent="0.25">
      <c r="E36" s="9"/>
      <c r="F36" s="9"/>
      <c r="G36" s="9"/>
      <c r="H36" s="9"/>
      <c r="I36" s="9"/>
      <c r="J36" s="9"/>
      <c r="K36" s="9"/>
      <c r="L36" s="9"/>
      <c r="M36" s="9"/>
      <c r="X36" s="2">
        <f>W35+X35-H48</f>
        <v>314522000</v>
      </c>
    </row>
    <row r="37" spans="1:34" x14ac:dyDescent="0.25">
      <c r="E37" s="9" t="s">
        <v>36</v>
      </c>
      <c r="F37" s="9"/>
      <c r="G37" s="9" t="s">
        <v>37</v>
      </c>
      <c r="H37" s="9" t="s">
        <v>38</v>
      </c>
      <c r="I37" s="9" t="s">
        <v>39</v>
      </c>
      <c r="J37" s="9" t="s">
        <v>40</v>
      </c>
      <c r="K37" s="9" t="s">
        <v>41</v>
      </c>
      <c r="L37" s="9"/>
      <c r="M37" s="9"/>
    </row>
    <row r="38" spans="1:34" ht="30" x14ac:dyDescent="0.25">
      <c r="E38" s="10" t="s">
        <v>32</v>
      </c>
      <c r="F38" s="11" t="s">
        <v>46</v>
      </c>
      <c r="G38" s="10" t="s">
        <v>8</v>
      </c>
      <c r="H38" s="11" t="s">
        <v>71</v>
      </c>
      <c r="I38" s="12" t="s">
        <v>42</v>
      </c>
      <c r="J38" s="12" t="s">
        <v>35</v>
      </c>
      <c r="K38" s="13" t="s">
        <v>30</v>
      </c>
      <c r="L38" s="33"/>
      <c r="M38" s="33"/>
    </row>
    <row r="39" spans="1:34" x14ac:dyDescent="0.25">
      <c r="E39" s="5">
        <v>45839</v>
      </c>
      <c r="F39" s="7">
        <f>SUM(I12:I14)</f>
        <v>900000000</v>
      </c>
      <c r="G39" s="7">
        <f>SUM(W12:W14)</f>
        <v>180000000</v>
      </c>
      <c r="H39" s="6"/>
      <c r="I39" s="6"/>
      <c r="J39" s="6"/>
      <c r="K39" s="7">
        <f>F39+G39</f>
        <v>1080000000</v>
      </c>
      <c r="L39" s="2"/>
      <c r="M39" s="2"/>
      <c r="X39" s="2">
        <f>SUM(I26:I29,AG26:AG29)</f>
        <v>1224522000</v>
      </c>
    </row>
    <row r="40" spans="1:34" x14ac:dyDescent="0.25">
      <c r="E40" s="5">
        <v>45870</v>
      </c>
      <c r="F40" s="7">
        <f>SUM(I15:I18)</f>
        <v>1125000000</v>
      </c>
      <c r="G40" s="7">
        <f>SUM(W15:W18)</f>
        <v>225000000</v>
      </c>
      <c r="H40" s="7"/>
      <c r="I40" s="7">
        <f>SUM(I19:I22)</f>
        <v>1606174500</v>
      </c>
      <c r="J40" s="7"/>
      <c r="K40" s="7">
        <f>K39+F40+G40+H40-I40-J40</f>
        <v>823825500</v>
      </c>
      <c r="L40" s="2"/>
      <c r="M40" s="2"/>
    </row>
    <row r="41" spans="1:34" x14ac:dyDescent="0.25">
      <c r="E41" s="5">
        <v>45901</v>
      </c>
      <c r="F41" s="7">
        <v>1426698600</v>
      </c>
      <c r="G41" s="7"/>
      <c r="H41" s="7"/>
      <c r="I41" s="7">
        <f>SUM(I23:I27)</f>
        <v>2250524100</v>
      </c>
      <c r="J41" s="7"/>
      <c r="K41" s="7">
        <f>K40+F41+G41+H41-I41</f>
        <v>0</v>
      </c>
      <c r="L41" s="2"/>
      <c r="M41" s="2"/>
    </row>
    <row r="42" spans="1:34" x14ac:dyDescent="0.25">
      <c r="E42" s="5">
        <v>45931</v>
      </c>
      <c r="F42" s="7"/>
      <c r="G42" s="7"/>
      <c r="H42" s="7"/>
      <c r="I42" s="7">
        <f>I29+I28</f>
        <v>342500000</v>
      </c>
      <c r="J42" s="7"/>
      <c r="K42" s="7">
        <f>K41+F42+G42+H42-I42</f>
        <v>-342500000</v>
      </c>
      <c r="L42" s="2"/>
      <c r="M42" s="2"/>
    </row>
    <row r="43" spans="1:34" x14ac:dyDescent="0.25">
      <c r="E43" s="5">
        <v>45962</v>
      </c>
      <c r="F43" s="7"/>
      <c r="G43" s="7">
        <f>SUM(M19:M25)</f>
        <v>651119470</v>
      </c>
      <c r="H43" s="7"/>
      <c r="I43" s="7">
        <f>-SUM(I19:I25)+I29</f>
        <v>-2946698600</v>
      </c>
      <c r="J43" s="7">
        <v>1105000000</v>
      </c>
      <c r="K43" s="7">
        <f>K42+F43+G43+H43-I43-J43</f>
        <v>2150318070</v>
      </c>
      <c r="L43" s="2"/>
      <c r="M43" s="2"/>
    </row>
    <row r="44" spans="1:34" x14ac:dyDescent="0.25">
      <c r="E44" s="5">
        <v>45992</v>
      </c>
      <c r="F44" s="7"/>
      <c r="G44" s="7"/>
      <c r="H44" s="7"/>
      <c r="I44" s="7"/>
      <c r="J44" s="7"/>
      <c r="K44" s="7">
        <f t="shared" ref="K44" si="18">K43+F44+G44+H44-I44</f>
        <v>2150318070</v>
      </c>
      <c r="L44" s="2"/>
      <c r="M44" s="2"/>
      <c r="P44" s="1"/>
    </row>
    <row r="45" spans="1:34" x14ac:dyDescent="0.25">
      <c r="E45" s="4"/>
      <c r="F45" s="8">
        <f>SUM(F39:F44)</f>
        <v>3451698600</v>
      </c>
      <c r="G45" s="8">
        <f>SUM(G39:G44)</f>
        <v>1056119470</v>
      </c>
      <c r="H45" s="8">
        <f t="shared" ref="H45:J45" si="19">SUM(H39:H44)</f>
        <v>0</v>
      </c>
      <c r="I45" s="8">
        <f t="shared" si="19"/>
        <v>1252500000</v>
      </c>
      <c r="J45" s="8">
        <f t="shared" si="19"/>
        <v>1105000000</v>
      </c>
      <c r="K45" s="8">
        <f>F45+G45+H45-I45-J45</f>
        <v>2150318070</v>
      </c>
      <c r="L45" s="24"/>
      <c r="M45" s="24"/>
      <c r="P45" s="2"/>
    </row>
    <row r="46" spans="1:34" x14ac:dyDescent="0.25">
      <c r="C46" s="2"/>
      <c r="D46" s="2"/>
      <c r="E46" s="2"/>
      <c r="F46" s="2"/>
      <c r="G46" s="2"/>
      <c r="H46" s="2"/>
    </row>
    <row r="47" spans="1:34" x14ac:dyDescent="0.25">
      <c r="E47" s="14" t="s">
        <v>47</v>
      </c>
      <c r="F47" s="14"/>
      <c r="G47" s="14"/>
      <c r="H47" s="8">
        <f>F45</f>
        <v>3451698600</v>
      </c>
      <c r="K47" s="2"/>
    </row>
    <row r="48" spans="1:34" x14ac:dyDescent="0.25">
      <c r="E48" s="14" t="s">
        <v>8</v>
      </c>
      <c r="F48" s="14"/>
      <c r="G48" s="14"/>
      <c r="H48" s="8">
        <f>G45</f>
        <v>1056119470</v>
      </c>
    </row>
    <row r="49" spans="2:22" x14ac:dyDescent="0.25">
      <c r="E49" s="14" t="s">
        <v>48</v>
      </c>
      <c r="F49" s="14"/>
      <c r="G49" s="14"/>
      <c r="H49" s="8">
        <f>-I45</f>
        <v>-1252500000</v>
      </c>
      <c r="J49" s="6" t="s">
        <v>140</v>
      </c>
      <c r="K49" s="6">
        <f>K45</f>
        <v>2150318070</v>
      </c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2" x14ac:dyDescent="0.25">
      <c r="E50" s="14" t="s">
        <v>30</v>
      </c>
      <c r="F50" s="14"/>
      <c r="G50" s="14"/>
      <c r="H50" s="8">
        <f>SUM(H47:H49)</f>
        <v>3255318070</v>
      </c>
      <c r="J50" s="6" t="s">
        <v>141</v>
      </c>
      <c r="K50" s="6">
        <v>-3000000000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80" t="s">
        <v>125</v>
      </c>
      <c r="H51" s="2">
        <f>SUM(M26:M29)</f>
        <v>314522000</v>
      </c>
      <c r="J51" s="4" t="s">
        <v>142</v>
      </c>
      <c r="K51" s="7">
        <f>K49+K50</f>
        <v>-849681930</v>
      </c>
      <c r="U51" s="2"/>
    </row>
    <row r="52" spans="2:22" x14ac:dyDescent="0.25">
      <c r="B52" s="29" t="s">
        <v>73</v>
      </c>
      <c r="C52" s="1">
        <f>G45</f>
        <v>1056119470</v>
      </c>
      <c r="E52" s="80" t="s">
        <v>131</v>
      </c>
      <c r="H52" s="2">
        <f>SUM(I26:I29)</f>
        <v>910000000</v>
      </c>
      <c r="U52" s="24"/>
    </row>
    <row r="53" spans="2:22" x14ac:dyDescent="0.25">
      <c r="B53" s="29" t="s">
        <v>74</v>
      </c>
      <c r="C53" s="1">
        <f>SUM(W19:X27)</f>
        <v>830880470</v>
      </c>
      <c r="E53" s="80"/>
      <c r="H53" s="24"/>
      <c r="I53" s="44"/>
      <c r="U53" s="2"/>
    </row>
    <row r="54" spans="2:22" x14ac:dyDescent="0.25">
      <c r="B54" s="28" t="s">
        <v>72</v>
      </c>
      <c r="C54" s="48">
        <f>SUM(C52:C53)</f>
        <v>1886999940</v>
      </c>
      <c r="G54" s="2"/>
      <c r="U54" s="2"/>
    </row>
    <row r="55" spans="2:22" x14ac:dyDescent="0.25">
      <c r="B55" s="29" t="s">
        <v>75</v>
      </c>
      <c r="C55" s="1">
        <v>-300000000</v>
      </c>
      <c r="U55" s="24"/>
      <c r="V55" s="2"/>
    </row>
    <row r="56" spans="2:22" x14ac:dyDescent="0.25">
      <c r="B56" s="28" t="s">
        <v>76</v>
      </c>
      <c r="C56" s="24">
        <f>C54+C55</f>
        <v>1586999940</v>
      </c>
    </row>
    <row r="58" spans="2:22" x14ac:dyDescent="0.25">
      <c r="B58" s="29" t="s">
        <v>77</v>
      </c>
      <c r="C58" s="2">
        <f>C56-C52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F10:F11"/>
    <mergeCell ref="A10:A11"/>
    <mergeCell ref="B10:B11"/>
    <mergeCell ref="C10:C11"/>
    <mergeCell ref="D10:D11"/>
    <mergeCell ref="E10:E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48E1-0618-4053-BDED-C3CCA5BFBC14}">
  <sheetPr>
    <tabColor rgb="FF00B0F0"/>
  </sheetPr>
  <dimension ref="A1:AI59"/>
  <sheetViews>
    <sheetView showGridLines="0" zoomScale="85" zoomScaleNormal="85" workbookViewId="0">
      <pane xSplit="5" ySplit="11" topLeftCell="F29" activePane="bottomRight" state="frozen"/>
      <selection activeCell="N13" sqref="N13"/>
      <selection pane="topRight" activeCell="N13" sqref="N13"/>
      <selection pane="bottomLeft" activeCell="N13" sqref="N13"/>
      <selection pane="bottomRight" activeCell="D34" sqref="D34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8" width="14.28515625" bestFit="1" customWidth="1"/>
    <col min="9" max="9" width="15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27" t="s">
        <v>23</v>
      </c>
      <c r="O10" s="327"/>
      <c r="P10" s="327"/>
      <c r="Q10" s="327"/>
      <c r="R10" s="327"/>
      <c r="S10" s="327"/>
      <c r="T10" s="25"/>
      <c r="U10" s="328" t="s">
        <v>52</v>
      </c>
      <c r="V10" s="328" t="s">
        <v>34</v>
      </c>
      <c r="W10" s="331" t="s">
        <v>8</v>
      </c>
      <c r="X10" s="328" t="s">
        <v>31</v>
      </c>
      <c r="Y10" s="333" t="s">
        <v>54</v>
      </c>
      <c r="Z10" s="331" t="s">
        <v>53</v>
      </c>
      <c r="AA10" s="333" t="s">
        <v>80</v>
      </c>
      <c r="AB10" s="333" t="s">
        <v>82</v>
      </c>
      <c r="AC10" s="325" t="s">
        <v>62</v>
      </c>
      <c r="AD10" s="325" t="s">
        <v>66</v>
      </c>
      <c r="AF10" s="320" t="s">
        <v>109</v>
      </c>
      <c r="AG10" s="335" t="s">
        <v>127</v>
      </c>
      <c r="AH10" s="320" t="s">
        <v>110</v>
      </c>
    </row>
    <row r="11" spans="1:34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29"/>
      <c r="V11" s="330"/>
      <c r="W11" s="332"/>
      <c r="X11" s="330"/>
      <c r="Y11" s="334"/>
      <c r="Z11" s="332"/>
      <c r="AA11" s="334"/>
      <c r="AB11" s="334"/>
      <c r="AC11" s="325"/>
      <c r="AD11" s="325" t="s">
        <v>66</v>
      </c>
      <c r="AF11" s="320"/>
      <c r="AG11" s="335"/>
      <c r="AH11" s="320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V.2'!$B12,Detail!$E$4:$E$21)</f>
        <v>2</v>
      </c>
      <c r="F12" s="22"/>
      <c r="G12" s="22">
        <f>VLOOKUP($B12,Detail!$B$4:$Q$21,5,0)</f>
        <v>225000000</v>
      </c>
      <c r="H12" s="22">
        <f t="shared" ref="H12:H29" si="0">E12*G12</f>
        <v>450000000</v>
      </c>
      <c r="I12" s="22">
        <f>SUMIF(Detail!$B$4:$B$21,'Summary V.2'!B12,Detail!$H$4:$H$21)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7" si="3">SUM(N12:S12)</f>
        <v>2</v>
      </c>
      <c r="V12" s="23">
        <f t="shared" ref="V12:V27" si="4">E12-U12</f>
        <v>0</v>
      </c>
      <c r="W12" s="22">
        <f t="shared" ref="W12:W26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V.2'!$B13,Detail!$E$4:$E$21)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V.2'!B13,Detail!$H$4:$H$21)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V.2'!$B14,Detail!$E$4:$E$21)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V.2'!B14,Detail!$H$4:$H$21)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V.2'!$B15,Detail!$E$4:$E$21)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V.2'!B15,Detail!$H$4:$H$21)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V.2'!$B16,Detail!$E$4:$E$21)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V.2'!B16,Detail!$H$4:$H$21)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V.2'!$B17,Detail!$E$4:$E$21)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V.2'!B17,Detail!$H$4:$H$21)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V.2'!$B18,Detail!$E$4:$E$21)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V.2'!B18,Detail!$H$4:$H$21)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V.2'!$B19,Detail!$E$4:$E$25)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V.2'!B19,Detail!$H$4:$H$25)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V.2'!$B20,Detail!$E$4:$E$25)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V.2'!B20,Detail!$H$4:$H$25)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34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7" si="11">Y20+7</f>
        <v>45930</v>
      </c>
      <c r="AA20" s="136">
        <f t="shared" ref="AA20:AA27" si="12">Z20+30</f>
        <v>45960</v>
      </c>
      <c r="AB20" s="136">
        <f t="shared" ref="AB20:AB27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34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:J33" si="15">(I23*20%)/E23</f>
        <v>68500000</v>
      </c>
      <c r="K23" s="134">
        <f t="shared" ref="K23:K26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si="0"/>
        <v>450000000</v>
      </c>
      <c r="I24" s="133">
        <f t="shared" si="14"/>
        <v>225000000</v>
      </c>
      <c r="J24" s="133">
        <f t="shared" si="15"/>
        <v>22500000</v>
      </c>
      <c r="K24" s="134">
        <f t="shared" si="16"/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si="3"/>
        <v>2</v>
      </c>
      <c r="V24" s="134">
        <f t="shared" si="4"/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0"/>
        <v>2231048200</v>
      </c>
      <c r="I25" s="133">
        <f t="shared" si="14"/>
        <v>1115524100</v>
      </c>
      <c r="J25" s="133">
        <f t="shared" si="15"/>
        <v>223104820</v>
      </c>
      <c r="K25" s="134">
        <f t="shared" si="16"/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3"/>
        <v>1</v>
      </c>
      <c r="V25" s="134">
        <f t="shared" si="4"/>
        <v>0</v>
      </c>
      <c r="W25" s="133">
        <f t="shared" si="5"/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40" customFormat="1" x14ac:dyDescent="0.25">
      <c r="A26" s="34">
        <v>15</v>
      </c>
      <c r="B26" s="34">
        <f>Detail!$B$58</f>
        <v>5200778319</v>
      </c>
      <c r="C26" s="35">
        <v>45909</v>
      </c>
      <c r="D26" s="36" t="str">
        <f>Detail!$D$58</f>
        <v>Top Frame 800</v>
      </c>
      <c r="E26" s="37">
        <v>2</v>
      </c>
      <c r="F26" s="37"/>
      <c r="G26" s="37">
        <f>Detail!$F$58</f>
        <v>225000000</v>
      </c>
      <c r="H26" s="37">
        <f t="shared" si="0"/>
        <v>450000000</v>
      </c>
      <c r="I26" s="37">
        <f t="shared" si="14"/>
        <v>225000000</v>
      </c>
      <c r="J26" s="37">
        <f t="shared" si="15"/>
        <v>22500000</v>
      </c>
      <c r="K26" s="38">
        <f t="shared" si="16"/>
        <v>45000000</v>
      </c>
      <c r="L26" s="38"/>
      <c r="M26" s="38">
        <f t="shared" si="10"/>
        <v>45000000</v>
      </c>
      <c r="N26" s="36"/>
      <c r="O26" s="38"/>
      <c r="P26" s="36">
        <v>2</v>
      </c>
      <c r="Q26" s="36"/>
      <c r="R26" s="36"/>
      <c r="S26" s="36"/>
      <c r="T26" s="36"/>
      <c r="U26" s="38">
        <f t="shared" si="3"/>
        <v>2</v>
      </c>
      <c r="V26" s="38">
        <f t="shared" si="4"/>
        <v>0</v>
      </c>
      <c r="W26" s="37">
        <f t="shared" si="5"/>
        <v>45000000</v>
      </c>
      <c r="X26" s="38">
        <f t="shared" si="6"/>
        <v>0</v>
      </c>
      <c r="Y26" s="41">
        <v>45940</v>
      </c>
      <c r="Z26" s="41">
        <f t="shared" si="11"/>
        <v>45947</v>
      </c>
      <c r="AA26" s="41">
        <f t="shared" si="12"/>
        <v>45977</v>
      </c>
      <c r="AB26" s="39">
        <f t="shared" si="13"/>
        <v>46007</v>
      </c>
      <c r="AC26" s="36" t="s">
        <v>69</v>
      </c>
      <c r="AD26" s="36"/>
      <c r="AF26" s="1">
        <f>VLOOKUP(B26,investasi!$B$23:$G$26,6,0)</f>
        <v>45000000</v>
      </c>
      <c r="AG26" s="2">
        <f>M26</f>
        <v>45000000</v>
      </c>
      <c r="AH26" s="139">
        <f t="shared" si="9"/>
        <v>0</v>
      </c>
    </row>
    <row r="27" spans="1:35" s="40" customFormat="1" x14ac:dyDescent="0.25">
      <c r="A27" s="34">
        <v>16</v>
      </c>
      <c r="B27" s="34">
        <v>5200778328</v>
      </c>
      <c r="C27" s="35">
        <v>45915</v>
      </c>
      <c r="D27" s="36" t="s">
        <v>61</v>
      </c>
      <c r="E27" s="37">
        <v>1</v>
      </c>
      <c r="F27" s="37"/>
      <c r="G27" s="37">
        <f>Detail!F59</f>
        <v>685000000</v>
      </c>
      <c r="H27" s="37">
        <f t="shared" si="0"/>
        <v>685000000</v>
      </c>
      <c r="I27" s="37">
        <f t="shared" si="14"/>
        <v>342500000</v>
      </c>
      <c r="J27" s="37">
        <f t="shared" si="15"/>
        <v>68500000</v>
      </c>
      <c r="K27" s="38">
        <f>(I27*20%)+F27</f>
        <v>68500000</v>
      </c>
      <c r="L27" s="38">
        <v>66261000</v>
      </c>
      <c r="M27" s="38">
        <f t="shared" si="10"/>
        <v>134761000</v>
      </c>
      <c r="N27" s="36"/>
      <c r="O27" s="38"/>
      <c r="P27" s="36">
        <v>1</v>
      </c>
      <c r="Q27" s="36"/>
      <c r="R27" s="36"/>
      <c r="S27" s="36"/>
      <c r="T27" s="36"/>
      <c r="U27" s="38">
        <f t="shared" si="3"/>
        <v>1</v>
      </c>
      <c r="V27" s="38">
        <f t="shared" si="4"/>
        <v>0</v>
      </c>
      <c r="W27" s="37">
        <f>J27*U27+L27</f>
        <v>134761000</v>
      </c>
      <c r="X27" s="38">
        <f>K27+L27-W27</f>
        <v>0</v>
      </c>
      <c r="Y27" s="41">
        <v>45940</v>
      </c>
      <c r="Z27" s="41">
        <f t="shared" si="11"/>
        <v>45947</v>
      </c>
      <c r="AA27" s="41">
        <f t="shared" si="12"/>
        <v>45977</v>
      </c>
      <c r="AB27" s="39">
        <f t="shared" si="13"/>
        <v>46007</v>
      </c>
      <c r="AC27" s="36" t="s">
        <v>69</v>
      </c>
      <c r="AD27" s="36"/>
      <c r="AF27" s="1">
        <f>VLOOKUP(B27,investasi!$B$23:$G$26,6,0)+investasi!I24</f>
        <v>134761000</v>
      </c>
      <c r="AG27" s="2">
        <f t="shared" si="8"/>
        <v>134761000</v>
      </c>
      <c r="AH27" s="139">
        <f t="shared" si="9"/>
        <v>0</v>
      </c>
    </row>
    <row r="28" spans="1:35" s="156" customFormat="1" x14ac:dyDescent="0.25">
      <c r="A28" s="149"/>
      <c r="B28" s="149"/>
      <c r="C28" s="150"/>
      <c r="D28" s="151"/>
      <c r="E28" s="152"/>
      <c r="F28" s="152"/>
      <c r="G28" s="152"/>
      <c r="H28" s="152"/>
      <c r="I28" s="152"/>
      <c r="J28" s="152"/>
      <c r="K28" s="153"/>
      <c r="L28" s="153"/>
      <c r="M28" s="153"/>
      <c r="N28" s="151"/>
      <c r="O28" s="153"/>
      <c r="P28" s="151"/>
      <c r="Q28" s="151"/>
      <c r="R28" s="151"/>
      <c r="S28" s="151"/>
      <c r="T28" s="151"/>
      <c r="U28" s="153"/>
      <c r="V28" s="153"/>
      <c r="W28" s="152"/>
      <c r="X28" s="153"/>
      <c r="Y28" s="154"/>
      <c r="Z28" s="154"/>
      <c r="AA28" s="154"/>
      <c r="AB28" s="155"/>
      <c r="AC28" s="151"/>
      <c r="AD28" s="151"/>
      <c r="AF28" s="157"/>
      <c r="AG28" s="158"/>
    </row>
    <row r="29" spans="1:35" ht="14.25" customHeight="1" x14ac:dyDescent="0.25">
      <c r="A29" s="31">
        <v>18</v>
      </c>
      <c r="B29" s="31">
        <f>Detail!B60</f>
        <v>5200779815</v>
      </c>
      <c r="C29" s="16">
        <v>45965</v>
      </c>
      <c r="D29" s="4" t="s">
        <v>61</v>
      </c>
      <c r="E29" s="78">
        <v>1</v>
      </c>
      <c r="F29" s="78"/>
      <c r="G29" s="78">
        <f>Detail!F60</f>
        <v>685000000</v>
      </c>
      <c r="H29" s="78">
        <f t="shared" si="0"/>
        <v>685000000</v>
      </c>
      <c r="I29" s="78">
        <f t="shared" si="14"/>
        <v>342500000</v>
      </c>
      <c r="J29" s="78">
        <f t="shared" si="15"/>
        <v>68500000</v>
      </c>
      <c r="K29" s="7">
        <f>(I29*20%)+F29</f>
        <v>68500000</v>
      </c>
      <c r="L29" s="7">
        <v>66261000</v>
      </c>
      <c r="M29" s="7">
        <f t="shared" si="10"/>
        <v>134761000</v>
      </c>
      <c r="N29" s="4"/>
      <c r="O29" s="7"/>
      <c r="P29" s="4"/>
      <c r="Q29" s="4"/>
      <c r="R29" s="4"/>
      <c r="S29" s="4"/>
      <c r="T29" s="4"/>
      <c r="U29" s="7"/>
      <c r="V29" s="7"/>
      <c r="W29" s="78"/>
      <c r="X29" s="7">
        <f>K29+L29-W29</f>
        <v>134761000</v>
      </c>
      <c r="Y29" s="27"/>
      <c r="Z29" s="27"/>
      <c r="AA29" s="27"/>
      <c r="AB29" s="27"/>
      <c r="AC29" s="4" t="s">
        <v>65</v>
      </c>
      <c r="AD29" s="4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31">
        <f>A29+1</f>
        <v>19</v>
      </c>
      <c r="B30" s="31">
        <v>5200988854</v>
      </c>
      <c r="C30" s="16">
        <v>45977</v>
      </c>
      <c r="D30" s="4" t="s">
        <v>114</v>
      </c>
      <c r="E30" s="78">
        <v>150</v>
      </c>
      <c r="F30" s="78"/>
      <c r="G30" s="78">
        <v>4990500</v>
      </c>
      <c r="H30" s="78">
        <f>E30*G30</f>
        <v>748575000</v>
      </c>
      <c r="I30" s="78">
        <f t="shared" si="14"/>
        <v>374287500</v>
      </c>
      <c r="J30" s="78">
        <f t="shared" si="15"/>
        <v>499050</v>
      </c>
      <c r="K30" s="7">
        <f>(I30*20%)+F30</f>
        <v>74857500</v>
      </c>
      <c r="L30" s="7"/>
      <c r="M30" s="7">
        <f t="shared" si="10"/>
        <v>74857500</v>
      </c>
      <c r="N30" s="4"/>
      <c r="O30" s="7"/>
      <c r="P30" s="4"/>
      <c r="Q30" s="4"/>
      <c r="R30" s="4"/>
      <c r="S30" s="4"/>
      <c r="T30" s="4"/>
      <c r="U30" s="7"/>
      <c r="V30" s="7"/>
      <c r="W30" s="78"/>
      <c r="X30" s="7">
        <f>K30+L30-W30</f>
        <v>74857500</v>
      </c>
      <c r="Y30" s="27"/>
      <c r="Z30" s="27"/>
      <c r="AA30" s="27"/>
      <c r="AB30" s="27"/>
      <c r="AC30" s="4" t="s">
        <v>65</v>
      </c>
      <c r="AD30" s="4"/>
      <c r="AF30" s="82"/>
      <c r="AG30" s="2"/>
      <c r="AH30" s="2"/>
    </row>
    <row r="31" spans="1:35" ht="14.25" customHeight="1" x14ac:dyDescent="0.25">
      <c r="A31" s="31">
        <f t="shared" ref="A31:A33" si="17">A30+1</f>
        <v>20</v>
      </c>
      <c r="B31" s="31">
        <v>5200989664</v>
      </c>
      <c r="C31" s="16">
        <v>45977</v>
      </c>
      <c r="D31" s="4" t="s">
        <v>115</v>
      </c>
      <c r="E31" s="78">
        <v>100</v>
      </c>
      <c r="F31" s="78"/>
      <c r="G31" s="78">
        <v>21100000</v>
      </c>
      <c r="H31" s="78">
        <f t="shared" ref="H31:H34" si="18">E31*G31</f>
        <v>2110000000</v>
      </c>
      <c r="I31" s="78">
        <f t="shared" si="14"/>
        <v>1055000000</v>
      </c>
      <c r="J31" s="78">
        <f t="shared" si="15"/>
        <v>2110000</v>
      </c>
      <c r="K31" s="7">
        <f t="shared" ref="K31:K33" si="19">(I31*20%)+F31</f>
        <v>211000000</v>
      </c>
      <c r="L31" s="7"/>
      <c r="M31" s="7">
        <f t="shared" si="10"/>
        <v>211000000</v>
      </c>
      <c r="N31" s="4"/>
      <c r="O31" s="7"/>
      <c r="P31" s="4"/>
      <c r="Q31" s="4"/>
      <c r="R31" s="4"/>
      <c r="S31" s="4"/>
      <c r="T31" s="4"/>
      <c r="U31" s="7"/>
      <c r="V31" s="7"/>
      <c r="W31" s="78"/>
      <c r="X31" s="7">
        <f t="shared" ref="X31:X34" si="20">K31+L31-W31</f>
        <v>211000000</v>
      </c>
      <c r="Y31" s="27"/>
      <c r="Z31" s="27"/>
      <c r="AA31" s="27"/>
      <c r="AB31" s="27"/>
      <c r="AC31" s="4" t="s">
        <v>65</v>
      </c>
      <c r="AD31" s="4"/>
      <c r="AF31" s="82"/>
      <c r="AG31" s="2"/>
      <c r="AH31" s="2"/>
    </row>
    <row r="32" spans="1:35" ht="14.25" customHeight="1" x14ac:dyDescent="0.25">
      <c r="A32" s="31">
        <f t="shared" si="17"/>
        <v>21</v>
      </c>
      <c r="B32" s="31">
        <v>5200989665</v>
      </c>
      <c r="C32" s="16">
        <v>45977</v>
      </c>
      <c r="D32" s="4" t="s">
        <v>115</v>
      </c>
      <c r="E32" s="78">
        <v>100</v>
      </c>
      <c r="F32" s="78"/>
      <c r="G32" s="78">
        <v>21100000</v>
      </c>
      <c r="H32" s="78">
        <f t="shared" si="18"/>
        <v>2110000000</v>
      </c>
      <c r="I32" s="78">
        <f t="shared" si="14"/>
        <v>1055000000</v>
      </c>
      <c r="J32" s="78">
        <f t="shared" si="15"/>
        <v>2110000</v>
      </c>
      <c r="K32" s="7">
        <f t="shared" si="19"/>
        <v>211000000</v>
      </c>
      <c r="L32" s="7"/>
      <c r="M32" s="7">
        <f t="shared" si="10"/>
        <v>211000000</v>
      </c>
      <c r="N32" s="4"/>
      <c r="O32" s="7"/>
      <c r="P32" s="4"/>
      <c r="Q32" s="4"/>
      <c r="R32" s="4"/>
      <c r="S32" s="4"/>
      <c r="T32" s="4"/>
      <c r="U32" s="7"/>
      <c r="V32" s="7"/>
      <c r="W32" s="78"/>
      <c r="X32" s="7">
        <f t="shared" si="20"/>
        <v>211000000</v>
      </c>
      <c r="Y32" s="27"/>
      <c r="Z32" s="27"/>
      <c r="AA32" s="27"/>
      <c r="AB32" s="27"/>
      <c r="AC32" s="4" t="s">
        <v>65</v>
      </c>
      <c r="AD32" s="4"/>
      <c r="AF32" s="82"/>
      <c r="AG32" s="2"/>
      <c r="AH32" s="2"/>
    </row>
    <row r="33" spans="1:34" ht="14.25" customHeight="1" x14ac:dyDescent="0.25">
      <c r="A33" s="31">
        <f t="shared" si="17"/>
        <v>22</v>
      </c>
      <c r="B33" s="31">
        <v>5200989666</v>
      </c>
      <c r="C33" s="16">
        <v>45977</v>
      </c>
      <c r="D33" s="4" t="s">
        <v>115</v>
      </c>
      <c r="E33" s="78">
        <v>110</v>
      </c>
      <c r="F33" s="78"/>
      <c r="G33" s="78">
        <v>21100000</v>
      </c>
      <c r="H33" s="78">
        <f t="shared" si="18"/>
        <v>2321000000</v>
      </c>
      <c r="I33" s="78">
        <f t="shared" si="14"/>
        <v>1160500000</v>
      </c>
      <c r="J33" s="78">
        <f t="shared" si="15"/>
        <v>2110000</v>
      </c>
      <c r="K33" s="7">
        <f t="shared" si="19"/>
        <v>232100000</v>
      </c>
      <c r="L33" s="7"/>
      <c r="M33" s="7">
        <f t="shared" si="10"/>
        <v>232100000</v>
      </c>
      <c r="N33" s="4"/>
      <c r="O33" s="7"/>
      <c r="P33" s="4"/>
      <c r="Q33" s="4"/>
      <c r="R33" s="4"/>
      <c r="S33" s="4"/>
      <c r="T33" s="4"/>
      <c r="U33" s="7"/>
      <c r="V33" s="7"/>
      <c r="W33" s="78"/>
      <c r="X33" s="7">
        <f t="shared" si="20"/>
        <v>232100000</v>
      </c>
      <c r="Y33" s="27"/>
      <c r="Z33" s="27"/>
      <c r="AA33" s="27"/>
      <c r="AB33" s="27"/>
      <c r="AC33" s="4" t="s">
        <v>65</v>
      </c>
      <c r="AD33" s="4"/>
      <c r="AF33" s="82"/>
      <c r="AG33" s="2"/>
      <c r="AH33" s="2"/>
    </row>
    <row r="34" spans="1:34" ht="14.25" customHeight="1" x14ac:dyDescent="0.25">
      <c r="A34" s="31"/>
      <c r="B34" s="163" t="s">
        <v>132</v>
      </c>
      <c r="C34" s="16">
        <v>45981</v>
      </c>
      <c r="D34" s="4" t="s">
        <v>60</v>
      </c>
      <c r="E34" s="78">
        <v>6</v>
      </c>
      <c r="F34" s="78"/>
      <c r="G34" s="78">
        <v>100500000</v>
      </c>
      <c r="H34" s="78">
        <f t="shared" si="18"/>
        <v>603000000</v>
      </c>
      <c r="I34" s="78">
        <f t="shared" si="14"/>
        <v>301500000</v>
      </c>
      <c r="J34" s="78">
        <v>12750000</v>
      </c>
      <c r="K34" s="7">
        <f>J34*E34</f>
        <v>76500000</v>
      </c>
      <c r="L34" s="7"/>
      <c r="M34" s="7">
        <f t="shared" si="10"/>
        <v>76500000</v>
      </c>
      <c r="N34" s="4"/>
      <c r="O34" s="7"/>
      <c r="P34" s="4"/>
      <c r="Q34" s="4"/>
      <c r="R34" s="4"/>
      <c r="S34" s="4"/>
      <c r="T34" s="4"/>
      <c r="U34" s="7"/>
      <c r="V34" s="7"/>
      <c r="W34" s="78"/>
      <c r="X34" s="7">
        <f t="shared" si="20"/>
        <v>76500000</v>
      </c>
      <c r="Y34" s="27"/>
      <c r="Z34" s="27"/>
      <c r="AA34" s="27"/>
      <c r="AB34" s="27"/>
      <c r="AC34" s="4" t="s">
        <v>65</v>
      </c>
      <c r="AD34" s="4"/>
      <c r="AF34" s="82"/>
      <c r="AG34" s="2"/>
      <c r="AH34" s="2"/>
    </row>
    <row r="35" spans="1:34" ht="15.75" thickBot="1" x14ac:dyDescent="0.3">
      <c r="A35" s="29"/>
      <c r="C35" s="15"/>
      <c r="D35" s="15"/>
      <c r="E35" s="79"/>
      <c r="F35" s="79"/>
      <c r="G35" s="79"/>
      <c r="H35" s="79"/>
      <c r="I35" s="79"/>
      <c r="J35" s="79"/>
      <c r="K35" s="2"/>
      <c r="L35" s="2"/>
      <c r="M35" s="2"/>
      <c r="O35" s="2"/>
      <c r="U35" s="2"/>
      <c r="V35" s="2"/>
      <c r="W35" s="79"/>
      <c r="X35" s="2"/>
      <c r="Y35" s="2"/>
    </row>
    <row r="36" spans="1:34" ht="15.75" thickBot="1" x14ac:dyDescent="0.3">
      <c r="B36" s="32" t="s">
        <v>51</v>
      </c>
      <c r="C36" s="18"/>
      <c r="D36" s="18"/>
      <c r="E36" s="18"/>
      <c r="F36" s="18"/>
      <c r="G36" s="18"/>
      <c r="H36" s="18"/>
      <c r="I36" s="19">
        <f>SUM(I12:I34)</f>
        <v>10170486100</v>
      </c>
      <c r="J36" s="18"/>
      <c r="K36" s="19">
        <f>SUM(K12:K34)</f>
        <v>2043576970</v>
      </c>
      <c r="L36" s="19">
        <f>SUM(L12:L34)</f>
        <v>132522000</v>
      </c>
      <c r="M36" s="19">
        <f>SUM(M12:M34)</f>
        <v>2176098970</v>
      </c>
      <c r="N36" s="18"/>
      <c r="O36" s="18"/>
      <c r="P36" s="18"/>
      <c r="Q36" s="18"/>
      <c r="R36" s="18"/>
      <c r="S36" s="18"/>
      <c r="T36" s="18"/>
      <c r="U36" s="18"/>
      <c r="V36" s="18"/>
      <c r="W36" s="19">
        <f>SUM(W12:W34)</f>
        <v>1235880470</v>
      </c>
      <c r="X36" s="19">
        <f>SUM(X12:X34)</f>
        <v>940218500</v>
      </c>
      <c r="Y36" s="24"/>
    </row>
    <row r="37" spans="1:34" x14ac:dyDescent="0.25">
      <c r="E37" s="9"/>
      <c r="F37" s="9"/>
      <c r="G37" s="9"/>
      <c r="H37" s="9"/>
      <c r="I37" s="9"/>
      <c r="J37" s="9"/>
      <c r="K37" s="9"/>
      <c r="L37" s="9"/>
      <c r="M37" s="9"/>
      <c r="X37" s="2">
        <f>W36+X36-H49</f>
        <v>1119979500</v>
      </c>
    </row>
    <row r="38" spans="1:34" x14ac:dyDescent="0.25">
      <c r="E38" s="9" t="s">
        <v>36</v>
      </c>
      <c r="F38" s="9"/>
      <c r="G38" s="9" t="s">
        <v>37</v>
      </c>
      <c r="H38" s="9" t="s">
        <v>38</v>
      </c>
      <c r="I38" s="9" t="s">
        <v>39</v>
      </c>
      <c r="J38" s="9" t="s">
        <v>40</v>
      </c>
      <c r="K38" s="9" t="s">
        <v>41</v>
      </c>
      <c r="L38" s="9"/>
      <c r="M38" s="9"/>
    </row>
    <row r="39" spans="1:34" ht="30" x14ac:dyDescent="0.25">
      <c r="E39" s="10" t="s">
        <v>32</v>
      </c>
      <c r="F39" s="11" t="s">
        <v>46</v>
      </c>
      <c r="G39" s="10" t="s">
        <v>8</v>
      </c>
      <c r="H39" s="11" t="s">
        <v>71</v>
      </c>
      <c r="I39" s="12" t="s">
        <v>42</v>
      </c>
      <c r="J39" s="12" t="s">
        <v>133</v>
      </c>
      <c r="K39" s="13" t="s">
        <v>30</v>
      </c>
      <c r="L39" s="33"/>
      <c r="M39" s="33"/>
    </row>
    <row r="40" spans="1:34" x14ac:dyDescent="0.25">
      <c r="E40" s="5">
        <v>45839</v>
      </c>
      <c r="F40" s="7">
        <f>SUM(I12:I14)</f>
        <v>900000000</v>
      </c>
      <c r="G40" s="7">
        <f>SUM(W12:W14)</f>
        <v>180000000</v>
      </c>
      <c r="H40" s="6"/>
      <c r="I40" s="6"/>
      <c r="J40" s="6"/>
      <c r="K40" s="7">
        <f>F40+G40</f>
        <v>1080000000</v>
      </c>
      <c r="L40" s="2"/>
      <c r="M40" s="2"/>
      <c r="X40" s="2">
        <f>SUM(I26:I29,AG26:AG29)</f>
        <v>1224522000</v>
      </c>
    </row>
    <row r="41" spans="1:34" x14ac:dyDescent="0.25">
      <c r="E41" s="5">
        <v>45870</v>
      </c>
      <c r="F41" s="7">
        <f>SUM(I15:I18)</f>
        <v>1125000000</v>
      </c>
      <c r="G41" s="7">
        <f>SUM(W15:W18)</f>
        <v>225000000</v>
      </c>
      <c r="H41" s="7"/>
      <c r="I41" s="7">
        <f>SUM(I19:I22)</f>
        <v>1606174500</v>
      </c>
      <c r="J41" s="7"/>
      <c r="K41" s="7">
        <f>K40+F41+G41+H41-I41-J41</f>
        <v>823825500</v>
      </c>
      <c r="L41" s="2"/>
      <c r="M41" s="2"/>
    </row>
    <row r="42" spans="1:34" x14ac:dyDescent="0.25">
      <c r="E42" s="5">
        <v>45901</v>
      </c>
      <c r="F42" s="7">
        <v>1426698600</v>
      </c>
      <c r="G42" s="7"/>
      <c r="H42" s="7"/>
      <c r="I42" s="7">
        <f>SUM(I23:I27)</f>
        <v>2250524100</v>
      </c>
      <c r="J42" s="7"/>
      <c r="K42" s="7">
        <f>K41+F42+G42+H42-I42</f>
        <v>0</v>
      </c>
      <c r="L42" s="2"/>
      <c r="M42" s="2"/>
    </row>
    <row r="43" spans="1:34" x14ac:dyDescent="0.25">
      <c r="E43" s="5">
        <v>45931</v>
      </c>
      <c r="F43" s="7"/>
      <c r="G43" s="7"/>
      <c r="H43" s="7"/>
      <c r="I43" s="7">
        <f>I29+I28</f>
        <v>342500000</v>
      </c>
      <c r="J43" s="7"/>
      <c r="K43" s="7">
        <f>K42+F43+G43+H43-I43</f>
        <v>-342500000</v>
      </c>
      <c r="L43" s="2"/>
      <c r="M43" s="2"/>
    </row>
    <row r="44" spans="1:34" x14ac:dyDescent="0.25">
      <c r="E44" s="5">
        <v>45962</v>
      </c>
      <c r="F44" s="7"/>
      <c r="G44" s="7">
        <f>SUM(M19:M25)</f>
        <v>651119470</v>
      </c>
      <c r="H44" s="7"/>
      <c r="I44" s="7">
        <f>-SUM(I19:I25)+I30+I31+I32+I33+I34</f>
        <v>657088900</v>
      </c>
      <c r="J44" s="7">
        <v>1105000000</v>
      </c>
      <c r="K44" s="7">
        <f>K43+F44+G44+H44-I44-J44</f>
        <v>-1453469430</v>
      </c>
      <c r="L44" s="2"/>
      <c r="M44" s="2"/>
    </row>
    <row r="45" spans="1:34" x14ac:dyDescent="0.25">
      <c r="E45" s="5">
        <v>45992</v>
      </c>
      <c r="F45" s="7"/>
      <c r="G45" s="7"/>
      <c r="H45" s="7"/>
      <c r="I45" s="7"/>
      <c r="J45" s="7"/>
      <c r="K45" s="7">
        <f t="shared" ref="K45" si="21">K44+F45+G45+H45-I45</f>
        <v>-1453469430</v>
      </c>
      <c r="L45" s="2"/>
      <c r="M45" s="2"/>
      <c r="P45" s="1"/>
    </row>
    <row r="46" spans="1:34" x14ac:dyDescent="0.25">
      <c r="E46" s="4"/>
      <c r="F46" s="8">
        <f>SUM(F40:F45)</f>
        <v>3451698600</v>
      </c>
      <c r="G46" s="8">
        <f>SUM(G40:G45)</f>
        <v>1056119470</v>
      </c>
      <c r="H46" s="8">
        <f t="shared" ref="H46:J46" si="22">SUM(H40:H45)</f>
        <v>0</v>
      </c>
      <c r="I46" s="8">
        <f t="shared" si="22"/>
        <v>4856287500</v>
      </c>
      <c r="J46" s="8">
        <f t="shared" si="22"/>
        <v>1105000000</v>
      </c>
      <c r="K46" s="8">
        <f>F46+G46+H46-I46-J46</f>
        <v>-1453469430</v>
      </c>
      <c r="L46" s="24"/>
      <c r="M46" s="24"/>
      <c r="P46" s="2"/>
    </row>
    <row r="47" spans="1:34" x14ac:dyDescent="0.25">
      <c r="C47" s="2"/>
      <c r="D47" s="2"/>
      <c r="E47" s="2"/>
      <c r="F47" s="2"/>
      <c r="G47" s="2"/>
      <c r="H47" s="2"/>
    </row>
    <row r="48" spans="1:34" x14ac:dyDescent="0.25">
      <c r="E48" s="14" t="s">
        <v>47</v>
      </c>
      <c r="F48" s="14"/>
      <c r="G48" s="14"/>
      <c r="H48" s="8">
        <f>F46</f>
        <v>3451698600</v>
      </c>
      <c r="K48" s="2"/>
    </row>
    <row r="49" spans="2:22" x14ac:dyDescent="0.25">
      <c r="E49" s="14" t="s">
        <v>8</v>
      </c>
      <c r="F49" s="14"/>
      <c r="G49" s="14"/>
      <c r="H49" s="8">
        <f>G46</f>
        <v>1056119470</v>
      </c>
      <c r="J49" s="4" t="s">
        <v>134</v>
      </c>
      <c r="K49" s="7">
        <v>2492818070</v>
      </c>
      <c r="L49" s="2">
        <f>K49-K46</f>
        <v>3946287500</v>
      </c>
    </row>
    <row r="50" spans="2:22" x14ac:dyDescent="0.25">
      <c r="E50" s="14" t="s">
        <v>48</v>
      </c>
      <c r="F50" s="14"/>
      <c r="G50" s="14"/>
      <c r="H50" s="8">
        <f>-I46</f>
        <v>-4856287500</v>
      </c>
      <c r="J50" s="6" t="s">
        <v>135</v>
      </c>
      <c r="K50" s="6">
        <f>SUM(M26:T29,I26:I29)</f>
        <v>1224522003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14" t="s">
        <v>133</v>
      </c>
      <c r="F51" s="14"/>
      <c r="G51" s="14"/>
      <c r="H51" s="8">
        <f>-J46</f>
        <v>-1105000000</v>
      </c>
      <c r="J51" s="77" t="s">
        <v>136</v>
      </c>
      <c r="K51" s="77">
        <f>K49+K50</f>
        <v>3717340073</v>
      </c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2" x14ac:dyDescent="0.25">
      <c r="E52" s="14" t="s">
        <v>30</v>
      </c>
      <c r="F52" s="14"/>
      <c r="G52" s="14"/>
      <c r="H52" s="8">
        <f>H48+H49+H50+H51</f>
        <v>-1453469430</v>
      </c>
      <c r="J52" s="4" t="s">
        <v>137</v>
      </c>
      <c r="K52" s="7">
        <v>3000000000</v>
      </c>
      <c r="U52" s="2"/>
    </row>
    <row r="53" spans="2:22" x14ac:dyDescent="0.25">
      <c r="B53" s="29" t="s">
        <v>73</v>
      </c>
      <c r="C53" s="1">
        <f>G46</f>
        <v>1056119470</v>
      </c>
      <c r="J53" s="164" t="s">
        <v>138</v>
      </c>
      <c r="K53" s="165">
        <f>K51-K52</f>
        <v>717340073</v>
      </c>
      <c r="U53" s="24"/>
    </row>
    <row r="54" spans="2:22" x14ac:dyDescent="0.25">
      <c r="B54" s="29" t="s">
        <v>74</v>
      </c>
      <c r="C54" s="1">
        <f>SUM(W19:X27)</f>
        <v>830880470</v>
      </c>
      <c r="I54" s="28"/>
      <c r="U54" s="2"/>
    </row>
    <row r="55" spans="2:22" x14ac:dyDescent="0.25">
      <c r="B55" s="28" t="s">
        <v>72</v>
      </c>
      <c r="C55" s="48">
        <f>SUM(C53:C54)</f>
        <v>1886999940</v>
      </c>
      <c r="E55" s="80"/>
      <c r="H55" s="24"/>
      <c r="J55" s="166" t="s">
        <v>139</v>
      </c>
      <c r="U55" s="2"/>
    </row>
    <row r="56" spans="2:22" x14ac:dyDescent="0.25">
      <c r="B56" s="29" t="s">
        <v>75</v>
      </c>
      <c r="C56" s="1">
        <v>-300000000</v>
      </c>
      <c r="U56" s="24"/>
      <c r="V56" s="2"/>
    </row>
    <row r="57" spans="2:22" x14ac:dyDescent="0.25">
      <c r="B57" s="28" t="s">
        <v>76</v>
      </c>
      <c r="C57" s="24">
        <f>C55+C56</f>
        <v>1586999940</v>
      </c>
    </row>
    <row r="59" spans="2:22" x14ac:dyDescent="0.25">
      <c r="B59" s="29" t="s">
        <v>77</v>
      </c>
      <c r="C59" s="2">
        <f>C57-C53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F10:F11"/>
    <mergeCell ref="A10:A11"/>
    <mergeCell ref="B10:B11"/>
    <mergeCell ref="C10:C11"/>
    <mergeCell ref="D10:D11"/>
    <mergeCell ref="E10:E11"/>
    <mergeCell ref="X10:X11"/>
    <mergeCell ref="G10:G11"/>
    <mergeCell ref="H10:H11"/>
    <mergeCell ref="I10:I11"/>
    <mergeCell ref="J10:J11"/>
    <mergeCell ref="K10:K11"/>
    <mergeCell ref="L10:L11"/>
    <mergeCell ref="M10:M11"/>
    <mergeCell ref="N10:S10"/>
    <mergeCell ref="U10:U11"/>
    <mergeCell ref="V10:V11"/>
    <mergeCell ref="W10:W11"/>
    <mergeCell ref="AF10:AF11"/>
    <mergeCell ref="AG10:AG11"/>
    <mergeCell ref="AH10:AH11"/>
    <mergeCell ref="Y10:Y11"/>
    <mergeCell ref="Z10:Z11"/>
    <mergeCell ref="AA10:AA11"/>
    <mergeCell ref="AB10:AB11"/>
    <mergeCell ref="AC10:AC11"/>
    <mergeCell ref="AD10:AD11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6F87-0614-4439-8DD0-EE280B7B1C8A}">
  <sheetPr>
    <tabColor rgb="FFFFFF00"/>
  </sheetPr>
  <dimension ref="A1:AI59"/>
  <sheetViews>
    <sheetView showGridLines="0" zoomScale="85" zoomScaleNormal="85" workbookViewId="0">
      <pane xSplit="5" ySplit="11" topLeftCell="F41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8.85546875" defaultRowHeight="15" outlineLevelCol="1" x14ac:dyDescent="0.25"/>
  <cols>
    <col min="1" max="1" width="3.85546875" bestFit="1" customWidth="1"/>
    <col min="2" max="2" width="24" style="29" customWidth="1"/>
    <col min="3" max="3" width="14.28515625" bestFit="1" customWidth="1"/>
    <col min="4" max="4" width="38.140625" bestFit="1" customWidth="1"/>
    <col min="5" max="5" width="16.85546875" bestFit="1" customWidth="1"/>
    <col min="6" max="6" width="27.7109375" bestFit="1" customWidth="1"/>
    <col min="7" max="9" width="14.28515625" bestFit="1" customWidth="1"/>
    <col min="10" max="10" width="15" bestFit="1" customWidth="1"/>
    <col min="11" max="11" width="14.85546875" bestFit="1" customWidth="1"/>
    <col min="12" max="12" width="17" bestFit="1" customWidth="1"/>
    <col min="13" max="13" width="14.28515625" bestFit="1" customWidth="1"/>
    <col min="14" max="14" width="3.7109375" hidden="1" customWidth="1" outlineLevel="1"/>
    <col min="15" max="15" width="4.5703125" hidden="1" customWidth="1" outlineLevel="1"/>
    <col min="16" max="16" width="14.28515625" hidden="1" customWidth="1" outlineLevel="1"/>
    <col min="17" max="17" width="4" hidden="1" customWidth="1" outlineLevel="1"/>
    <col min="18" max="19" width="4.5703125" hidden="1" customWidth="1" outlineLevel="1"/>
    <col min="20" max="20" width="29.85546875" hidden="1" customWidth="1" outlineLevel="1"/>
    <col min="21" max="21" width="13.85546875" bestFit="1" customWidth="1" collapsed="1"/>
    <col min="22" max="22" width="13.42578125" customWidth="1"/>
    <col min="23" max="24" width="14.28515625" bestFit="1" customWidth="1"/>
    <col min="25" max="25" width="12.42578125" customWidth="1"/>
    <col min="26" max="26" width="11.85546875" customWidth="1"/>
    <col min="27" max="28" width="14.42578125" customWidth="1"/>
    <col min="29" max="29" width="16.7109375" customWidth="1"/>
    <col min="30" max="30" width="24.85546875" bestFit="1" customWidth="1"/>
    <col min="32" max="33" width="12.5703125" bestFit="1" customWidth="1"/>
    <col min="34" max="34" width="11.5703125" bestFit="1" customWidth="1"/>
  </cols>
  <sheetData>
    <row r="1" spans="1:34" ht="15.75" x14ac:dyDescent="0.25">
      <c r="B1" s="47" t="s">
        <v>33</v>
      </c>
    </row>
    <row r="2" spans="1:34" x14ac:dyDescent="0.25">
      <c r="B2" s="28"/>
    </row>
    <row r="3" spans="1:34" x14ac:dyDescent="0.25">
      <c r="B3" s="45"/>
      <c r="C3" t="s">
        <v>63</v>
      </c>
    </row>
    <row r="4" spans="1:34" x14ac:dyDescent="0.25">
      <c r="B4" s="46"/>
      <c r="C4" t="s">
        <v>69</v>
      </c>
    </row>
    <row r="5" spans="1:34" x14ac:dyDescent="0.25">
      <c r="B5" s="43"/>
      <c r="C5" t="s">
        <v>70</v>
      </c>
    </row>
    <row r="6" spans="1:34" x14ac:dyDescent="0.25">
      <c r="B6" s="44"/>
      <c r="C6" t="s">
        <v>65</v>
      </c>
    </row>
    <row r="7" spans="1:34" x14ac:dyDescent="0.25">
      <c r="B7" s="122"/>
      <c r="C7" t="s">
        <v>111</v>
      </c>
      <c r="E7">
        <f>Detail!E2</f>
        <v>4</v>
      </c>
      <c r="G7">
        <f>Detail!F2</f>
        <v>5</v>
      </c>
      <c r="H7">
        <f>Detail!G2</f>
        <v>6</v>
      </c>
      <c r="I7">
        <f>Detail!H2</f>
        <v>7</v>
      </c>
      <c r="K7">
        <f>Detail!I2</f>
        <v>8</v>
      </c>
    </row>
    <row r="8" spans="1:34" x14ac:dyDescent="0.25">
      <c r="B8" s="149"/>
      <c r="C8" t="s">
        <v>112</v>
      </c>
    </row>
    <row r="10" spans="1:34" x14ac:dyDescent="0.25">
      <c r="A10" s="321" t="s">
        <v>78</v>
      </c>
      <c r="B10" s="321" t="s">
        <v>1</v>
      </c>
      <c r="C10" s="320" t="s">
        <v>22</v>
      </c>
      <c r="D10" s="322" t="s">
        <v>55</v>
      </c>
      <c r="E10" s="320" t="str">
        <f>Detail!E3</f>
        <v>Qty</v>
      </c>
      <c r="F10" s="324" t="s">
        <v>59</v>
      </c>
      <c r="G10" s="320" t="str">
        <f>Detail!F3</f>
        <v>Harga</v>
      </c>
      <c r="H10" s="320" t="s">
        <v>29</v>
      </c>
      <c r="I10" s="320" t="s">
        <v>7</v>
      </c>
      <c r="J10" s="320" t="s">
        <v>28</v>
      </c>
      <c r="K10" s="320" t="str">
        <f>Detail!I3</f>
        <v>Margin</v>
      </c>
      <c r="L10" s="320" t="s">
        <v>19</v>
      </c>
      <c r="M10" s="324" t="s">
        <v>67</v>
      </c>
      <c r="N10" s="327" t="s">
        <v>23</v>
      </c>
      <c r="O10" s="327"/>
      <c r="P10" s="327"/>
      <c r="Q10" s="327"/>
      <c r="R10" s="327"/>
      <c r="S10" s="327"/>
      <c r="T10" s="25"/>
      <c r="U10" s="328" t="s">
        <v>52</v>
      </c>
      <c r="V10" s="328" t="s">
        <v>34</v>
      </c>
      <c r="W10" s="331" t="s">
        <v>8</v>
      </c>
      <c r="X10" s="328" t="s">
        <v>31</v>
      </c>
      <c r="Y10" s="333" t="s">
        <v>54</v>
      </c>
      <c r="Z10" s="331" t="s">
        <v>53</v>
      </c>
      <c r="AA10" s="333" t="s">
        <v>80</v>
      </c>
      <c r="AB10" s="333" t="s">
        <v>82</v>
      </c>
      <c r="AC10" s="325" t="s">
        <v>62</v>
      </c>
      <c r="AD10" s="325" t="s">
        <v>66</v>
      </c>
      <c r="AF10" s="320" t="s">
        <v>109</v>
      </c>
      <c r="AG10" s="335" t="s">
        <v>127</v>
      </c>
      <c r="AH10" s="320" t="s">
        <v>110</v>
      </c>
    </row>
    <row r="11" spans="1:34" x14ac:dyDescent="0.25">
      <c r="A11" s="321"/>
      <c r="B11" s="321"/>
      <c r="C11" s="320"/>
      <c r="D11" s="323"/>
      <c r="E11" s="320"/>
      <c r="F11" s="323"/>
      <c r="G11" s="320"/>
      <c r="H11" s="320"/>
      <c r="I11" s="320"/>
      <c r="J11" s="320"/>
      <c r="K11" s="320"/>
      <c r="L11" s="320"/>
      <c r="M11" s="326"/>
      <c r="N11" s="3" t="s">
        <v>20</v>
      </c>
      <c r="O11" s="3" t="s">
        <v>21</v>
      </c>
      <c r="P11" s="3" t="s">
        <v>24</v>
      </c>
      <c r="Q11" s="3" t="s">
        <v>25</v>
      </c>
      <c r="R11" s="3" t="s">
        <v>26</v>
      </c>
      <c r="S11" s="3" t="s">
        <v>27</v>
      </c>
      <c r="T11" s="26" t="s">
        <v>57</v>
      </c>
      <c r="U11" s="329"/>
      <c r="V11" s="330"/>
      <c r="W11" s="332"/>
      <c r="X11" s="330"/>
      <c r="Y11" s="334"/>
      <c r="Z11" s="332"/>
      <c r="AA11" s="334"/>
      <c r="AB11" s="334"/>
      <c r="AC11" s="325"/>
      <c r="AD11" s="325" t="s">
        <v>66</v>
      </c>
      <c r="AF11" s="320"/>
      <c r="AG11" s="335"/>
      <c r="AH11" s="320"/>
    </row>
    <row r="12" spans="1:34" x14ac:dyDescent="0.25">
      <c r="A12" s="30">
        <v>1</v>
      </c>
      <c r="B12" s="30">
        <v>5200954145</v>
      </c>
      <c r="C12" s="21">
        <f>VLOOKUP($B12,Detail!$B$4:$Q$21,2,0)</f>
        <v>45839</v>
      </c>
      <c r="D12" s="20" t="s">
        <v>3</v>
      </c>
      <c r="E12" s="22">
        <f>SUMIF(Detail!$B$4:$B$21,'Summary V.1'!$B12,Detail!$E$4:$E$21)</f>
        <v>2</v>
      </c>
      <c r="F12" s="22"/>
      <c r="G12" s="22">
        <f>VLOOKUP($B12,Detail!$B$4:$Q$21,5,0)</f>
        <v>225000000</v>
      </c>
      <c r="H12" s="22">
        <f t="shared" ref="H12:H23" si="0">E12*G12</f>
        <v>450000000</v>
      </c>
      <c r="I12" s="22">
        <f>SUMIF(Detail!$B$4:$B$21,'Summary V.1'!B12,Detail!$H$4:$H$21)</f>
        <v>225000000</v>
      </c>
      <c r="J12" s="22">
        <f t="shared" ref="J12:J20" si="1">(I12*20%)/E12</f>
        <v>22500000</v>
      </c>
      <c r="K12" s="23">
        <f t="shared" ref="K12:K20" si="2">I12*20%</f>
        <v>45000000</v>
      </c>
      <c r="L12" s="23"/>
      <c r="M12" s="23">
        <f>SUM(K12:L12)</f>
        <v>45000000</v>
      </c>
      <c r="N12" s="23">
        <f>E12</f>
        <v>2</v>
      </c>
      <c r="O12" s="20"/>
      <c r="P12" s="20"/>
      <c r="Q12" s="20"/>
      <c r="R12" s="20"/>
      <c r="S12" s="20"/>
      <c r="T12" s="20"/>
      <c r="U12" s="23">
        <f t="shared" ref="U12:U23" si="3">SUM(N12:S12)</f>
        <v>2</v>
      </c>
      <c r="V12" s="23">
        <f t="shared" ref="V12:V23" si="4">E12-U12</f>
        <v>0</v>
      </c>
      <c r="W12" s="22">
        <f t="shared" ref="W12:W24" si="5">J12*U12</f>
        <v>45000000</v>
      </c>
      <c r="X12" s="23">
        <f t="shared" ref="X12:X26" si="6">K12-W12</f>
        <v>0</v>
      </c>
      <c r="Y12" s="42">
        <v>45861</v>
      </c>
      <c r="Z12" s="42">
        <v>45863</v>
      </c>
      <c r="AA12" s="42">
        <v>45894</v>
      </c>
      <c r="AB12" s="42"/>
      <c r="AC12" s="20" t="s">
        <v>63</v>
      </c>
      <c r="AD12" s="20"/>
      <c r="AF12" s="1">
        <f>VLOOKUP(B12,investasi!$B$5:$G$18,6,0)</f>
        <v>45000000</v>
      </c>
      <c r="AG12" s="2">
        <f>M12</f>
        <v>45000000</v>
      </c>
      <c r="AH12" s="2">
        <f>AF12-AG12</f>
        <v>0</v>
      </c>
    </row>
    <row r="13" spans="1:34" x14ac:dyDescent="0.25">
      <c r="A13" s="30">
        <v>2</v>
      </c>
      <c r="B13" s="30">
        <v>5200954149</v>
      </c>
      <c r="C13" s="21">
        <f>VLOOKUP($B13,Detail!$B$4:$Q$21,2,0)</f>
        <v>45839</v>
      </c>
      <c r="D13" s="20" t="s">
        <v>3</v>
      </c>
      <c r="E13" s="22">
        <f>SUMIF(Detail!$B$4:$B$21,'Summary V.1'!$B13,Detail!$E$4:$E$21)</f>
        <v>3</v>
      </c>
      <c r="F13" s="22"/>
      <c r="G13" s="22">
        <f>VLOOKUP($B13,Detail!$B$4:$Q$21,5,0)</f>
        <v>225000000</v>
      </c>
      <c r="H13" s="22">
        <f t="shared" si="0"/>
        <v>675000000</v>
      </c>
      <c r="I13" s="22">
        <f>SUMIF(Detail!$B$4:$B$21,'Summary V.1'!B13,Detail!$H$4:$H$21)</f>
        <v>337500000</v>
      </c>
      <c r="J13" s="22">
        <f t="shared" si="1"/>
        <v>22500000</v>
      </c>
      <c r="K13" s="23">
        <f t="shared" si="2"/>
        <v>67500000</v>
      </c>
      <c r="L13" s="23"/>
      <c r="M13" s="23">
        <f t="shared" ref="M13:M18" si="7">SUM(K13:L13)</f>
        <v>67500000</v>
      </c>
      <c r="N13" s="23">
        <f>E13</f>
        <v>3</v>
      </c>
      <c r="O13" s="20"/>
      <c r="P13" s="20"/>
      <c r="Q13" s="20"/>
      <c r="R13" s="20"/>
      <c r="S13" s="20"/>
      <c r="T13" s="20"/>
      <c r="U13" s="23">
        <f t="shared" si="3"/>
        <v>3</v>
      </c>
      <c r="V13" s="23">
        <f t="shared" si="4"/>
        <v>0</v>
      </c>
      <c r="W13" s="22">
        <f t="shared" si="5"/>
        <v>67500000</v>
      </c>
      <c r="X13" s="23">
        <f t="shared" si="6"/>
        <v>0</v>
      </c>
      <c r="Y13" s="42">
        <v>45861</v>
      </c>
      <c r="Z13" s="42">
        <v>45863</v>
      </c>
      <c r="AA13" s="42">
        <v>45894</v>
      </c>
      <c r="AB13" s="42"/>
      <c r="AC13" s="20" t="s">
        <v>63</v>
      </c>
      <c r="AD13" s="20"/>
      <c r="AF13" s="1">
        <f>VLOOKUP(B13,investasi!$B$5:$G$18,6,0)</f>
        <v>67500000</v>
      </c>
      <c r="AG13" s="2">
        <f t="shared" ref="AG13:AG29" si="8">M13</f>
        <v>67500000</v>
      </c>
      <c r="AH13" s="2">
        <f t="shared" ref="AH13:AH29" si="9">AF13-AG13</f>
        <v>0</v>
      </c>
    </row>
    <row r="14" spans="1:34" x14ac:dyDescent="0.25">
      <c r="A14" s="30">
        <v>3</v>
      </c>
      <c r="B14" s="30">
        <v>5200954160</v>
      </c>
      <c r="C14" s="21">
        <f>VLOOKUP($B14,Detail!$B$4:$Q$21,2,0)</f>
        <v>45839</v>
      </c>
      <c r="D14" s="20" t="s">
        <v>3</v>
      </c>
      <c r="E14" s="22">
        <f>SUMIF(Detail!$B$4:$B$21,'Summary V.1'!$B14,Detail!$E$4:$E$21)</f>
        <v>3</v>
      </c>
      <c r="F14" s="22"/>
      <c r="G14" s="22">
        <f>VLOOKUP($B14,Detail!$B$4:$Q$21,5,0)</f>
        <v>225000000</v>
      </c>
      <c r="H14" s="22">
        <f t="shared" si="0"/>
        <v>675000000</v>
      </c>
      <c r="I14" s="22">
        <f>SUMIF(Detail!$B$4:$B$21,'Summary V.1'!B14,Detail!$H$4:$H$21)</f>
        <v>337500000</v>
      </c>
      <c r="J14" s="22">
        <f t="shared" si="1"/>
        <v>22500000</v>
      </c>
      <c r="K14" s="23">
        <f t="shared" si="2"/>
        <v>67500000</v>
      </c>
      <c r="L14" s="23"/>
      <c r="M14" s="23">
        <f t="shared" si="7"/>
        <v>67500000</v>
      </c>
      <c r="N14" s="23">
        <f>E14</f>
        <v>3</v>
      </c>
      <c r="O14" s="20"/>
      <c r="P14" s="20"/>
      <c r="Q14" s="20"/>
      <c r="R14" s="20"/>
      <c r="S14" s="20"/>
      <c r="T14" s="20"/>
      <c r="U14" s="23">
        <f t="shared" si="3"/>
        <v>3</v>
      </c>
      <c r="V14" s="23">
        <f t="shared" si="4"/>
        <v>0</v>
      </c>
      <c r="W14" s="22">
        <f t="shared" si="5"/>
        <v>67500000</v>
      </c>
      <c r="X14" s="23">
        <f t="shared" si="6"/>
        <v>0</v>
      </c>
      <c r="Y14" s="42">
        <v>45861</v>
      </c>
      <c r="Z14" s="42">
        <v>45863</v>
      </c>
      <c r="AA14" s="42">
        <v>45894</v>
      </c>
      <c r="AB14" s="42"/>
      <c r="AC14" s="20" t="s">
        <v>63</v>
      </c>
      <c r="AD14" s="20"/>
      <c r="AF14" s="1">
        <f>VLOOKUP(B14,investasi!$B$5:$G$18,6,0)</f>
        <v>67500000</v>
      </c>
      <c r="AG14" s="2">
        <f t="shared" si="8"/>
        <v>67500000</v>
      </c>
      <c r="AH14" s="2">
        <f t="shared" si="9"/>
        <v>0</v>
      </c>
    </row>
    <row r="15" spans="1:34" x14ac:dyDescent="0.25">
      <c r="A15" s="30">
        <v>4</v>
      </c>
      <c r="B15" s="30">
        <v>5200954165</v>
      </c>
      <c r="C15" s="21">
        <f>VLOOKUP($B15,Detail!$B$4:$Q$21,2,0)</f>
        <v>45870</v>
      </c>
      <c r="D15" s="20" t="s">
        <v>3</v>
      </c>
      <c r="E15" s="22">
        <f>SUMIF(Detail!$B$4:$B$21,'Summary V.1'!$B15,Detail!$E$4:$E$21)</f>
        <v>3</v>
      </c>
      <c r="F15" s="22"/>
      <c r="G15" s="22">
        <f>VLOOKUP($B15,Detail!$B$4:$Q$21,5,0)</f>
        <v>225000000</v>
      </c>
      <c r="H15" s="22">
        <f t="shared" si="0"/>
        <v>675000000</v>
      </c>
      <c r="I15" s="22">
        <f>SUMIF(Detail!$B$4:$B$21,'Summary V.1'!B15,Detail!$H$4:$H$21)</f>
        <v>337500000</v>
      </c>
      <c r="J15" s="22">
        <f t="shared" si="1"/>
        <v>22500000</v>
      </c>
      <c r="K15" s="23">
        <f t="shared" si="2"/>
        <v>67500000</v>
      </c>
      <c r="L15" s="23"/>
      <c r="M15" s="23">
        <f t="shared" si="7"/>
        <v>67500000</v>
      </c>
      <c r="N15" s="20"/>
      <c r="O15" s="23">
        <f>E15</f>
        <v>3</v>
      </c>
      <c r="P15" s="20"/>
      <c r="Q15" s="20"/>
      <c r="R15" s="20"/>
      <c r="S15" s="20"/>
      <c r="T15" s="20"/>
      <c r="U15" s="23">
        <f t="shared" si="3"/>
        <v>3</v>
      </c>
      <c r="V15" s="23">
        <f t="shared" si="4"/>
        <v>0</v>
      </c>
      <c r="W15" s="22">
        <f t="shared" si="5"/>
        <v>67500000</v>
      </c>
      <c r="X15" s="23">
        <f t="shared" si="6"/>
        <v>0</v>
      </c>
      <c r="Y15" s="42">
        <v>45868</v>
      </c>
      <c r="Z15" s="42">
        <v>45873</v>
      </c>
      <c r="AA15" s="42">
        <v>45904</v>
      </c>
      <c r="AB15" s="42"/>
      <c r="AC15" s="20" t="s">
        <v>63</v>
      </c>
      <c r="AD15" s="20"/>
      <c r="AF15" s="1">
        <f>VLOOKUP(B15,investasi!$B$5:$G$18,6,0)</f>
        <v>67500000</v>
      </c>
      <c r="AG15" s="2">
        <f t="shared" si="8"/>
        <v>67500000</v>
      </c>
      <c r="AH15" s="2">
        <f t="shared" si="9"/>
        <v>0</v>
      </c>
    </row>
    <row r="16" spans="1:34" x14ac:dyDescent="0.25">
      <c r="A16" s="30">
        <v>5</v>
      </c>
      <c r="B16" s="30">
        <v>5200954167</v>
      </c>
      <c r="C16" s="21">
        <f>VLOOKUP($B16,Detail!$B$4:$Q$21,2,0)</f>
        <v>45870</v>
      </c>
      <c r="D16" s="20" t="s">
        <v>3</v>
      </c>
      <c r="E16" s="22">
        <f>SUMIF(Detail!$B$4:$B$21,'Summary V.1'!$B16,Detail!$E$4:$E$21)</f>
        <v>3</v>
      </c>
      <c r="F16" s="22"/>
      <c r="G16" s="22">
        <f>VLOOKUP($B16,Detail!$B$4:$Q$21,5,0)</f>
        <v>225000000</v>
      </c>
      <c r="H16" s="22">
        <f t="shared" si="0"/>
        <v>675000000</v>
      </c>
      <c r="I16" s="22">
        <f>SUMIF(Detail!$B$4:$B$21,'Summary V.1'!B16,Detail!$H$4:$H$21)</f>
        <v>337500000</v>
      </c>
      <c r="J16" s="22">
        <f t="shared" si="1"/>
        <v>22500000</v>
      </c>
      <c r="K16" s="23">
        <f t="shared" si="2"/>
        <v>67500000</v>
      </c>
      <c r="L16" s="23"/>
      <c r="M16" s="23">
        <f t="shared" si="7"/>
        <v>67500000</v>
      </c>
      <c r="N16" s="20"/>
      <c r="O16" s="23">
        <f>E16</f>
        <v>3</v>
      </c>
      <c r="P16" s="20"/>
      <c r="Q16" s="20"/>
      <c r="R16" s="20"/>
      <c r="S16" s="20"/>
      <c r="T16" s="20"/>
      <c r="U16" s="23">
        <f t="shared" si="3"/>
        <v>3</v>
      </c>
      <c r="V16" s="23">
        <f t="shared" si="4"/>
        <v>0</v>
      </c>
      <c r="W16" s="22">
        <f t="shared" si="5"/>
        <v>67500000</v>
      </c>
      <c r="X16" s="23">
        <f t="shared" si="6"/>
        <v>0</v>
      </c>
      <c r="Y16" s="42">
        <v>45868</v>
      </c>
      <c r="Z16" s="42">
        <v>45873</v>
      </c>
      <c r="AA16" s="42">
        <v>45904</v>
      </c>
      <c r="AB16" s="42"/>
      <c r="AC16" s="20" t="s">
        <v>63</v>
      </c>
      <c r="AD16" s="20"/>
      <c r="AF16" s="1">
        <f>VLOOKUP(B16,investasi!$B$5:$G$18,6,0)</f>
        <v>67500000</v>
      </c>
      <c r="AG16" s="2">
        <f t="shared" si="8"/>
        <v>67500000</v>
      </c>
      <c r="AH16" s="2">
        <f t="shared" si="9"/>
        <v>0</v>
      </c>
    </row>
    <row r="17" spans="1:35" x14ac:dyDescent="0.25">
      <c r="A17" s="30">
        <v>6</v>
      </c>
      <c r="B17" s="30">
        <v>5200954168</v>
      </c>
      <c r="C17" s="21">
        <f>VLOOKUP($B17,Detail!$B$4:$Q$21,2,0)</f>
        <v>45870</v>
      </c>
      <c r="D17" s="20" t="s">
        <v>3</v>
      </c>
      <c r="E17" s="22">
        <f>SUMIF(Detail!$B$4:$B$21,'Summary V.1'!$B17,Detail!$E$4:$E$21)</f>
        <v>2</v>
      </c>
      <c r="F17" s="22"/>
      <c r="G17" s="22">
        <f>VLOOKUP($B17,Detail!$B$4:$Q$21,5,0)</f>
        <v>225000000</v>
      </c>
      <c r="H17" s="22">
        <f t="shared" si="0"/>
        <v>450000000</v>
      </c>
      <c r="I17" s="22">
        <f>SUMIF(Detail!$B$4:$B$21,'Summary V.1'!B17,Detail!$H$4:$H$21)</f>
        <v>225000000</v>
      </c>
      <c r="J17" s="22">
        <f t="shared" si="1"/>
        <v>22500000</v>
      </c>
      <c r="K17" s="23">
        <f t="shared" si="2"/>
        <v>45000000</v>
      </c>
      <c r="L17" s="23"/>
      <c r="M17" s="23">
        <f t="shared" si="7"/>
        <v>45000000</v>
      </c>
      <c r="N17" s="20"/>
      <c r="O17" s="23">
        <f>E17</f>
        <v>2</v>
      </c>
      <c r="P17" s="20"/>
      <c r="Q17" s="20"/>
      <c r="R17" s="20"/>
      <c r="S17" s="20"/>
      <c r="T17" s="20"/>
      <c r="U17" s="23">
        <f t="shared" si="3"/>
        <v>2</v>
      </c>
      <c r="V17" s="23">
        <f t="shared" si="4"/>
        <v>0</v>
      </c>
      <c r="W17" s="22">
        <f t="shared" si="5"/>
        <v>45000000</v>
      </c>
      <c r="X17" s="23">
        <f t="shared" si="6"/>
        <v>0</v>
      </c>
      <c r="Y17" s="42">
        <v>45868</v>
      </c>
      <c r="Z17" s="42">
        <v>45873</v>
      </c>
      <c r="AA17" s="42">
        <v>45904</v>
      </c>
      <c r="AB17" s="42"/>
      <c r="AC17" s="20" t="s">
        <v>63</v>
      </c>
      <c r="AD17" s="20"/>
      <c r="AF17" s="1">
        <f>VLOOKUP(B17,investasi!$B$5:$G$18,6,0)</f>
        <v>45000000</v>
      </c>
      <c r="AG17" s="2">
        <f t="shared" si="8"/>
        <v>45000000</v>
      </c>
      <c r="AH17" s="2">
        <f t="shared" si="9"/>
        <v>0</v>
      </c>
    </row>
    <row r="18" spans="1:35" x14ac:dyDescent="0.25">
      <c r="A18" s="30">
        <v>7</v>
      </c>
      <c r="B18" s="30">
        <v>5200954169</v>
      </c>
      <c r="C18" s="21">
        <f>VLOOKUP($B18,Detail!$B$4:$Q$21,2,0)</f>
        <v>45870</v>
      </c>
      <c r="D18" s="20" t="s">
        <v>3</v>
      </c>
      <c r="E18" s="22">
        <f>SUMIF(Detail!$B$4:$B$21,'Summary V.1'!$B18,Detail!$E$4:$E$21)</f>
        <v>2</v>
      </c>
      <c r="F18" s="22"/>
      <c r="G18" s="22">
        <f>VLOOKUP($B18,Detail!$B$4:$Q$21,5,0)</f>
        <v>225000000</v>
      </c>
      <c r="H18" s="22">
        <f t="shared" si="0"/>
        <v>450000000</v>
      </c>
      <c r="I18" s="22">
        <f>SUMIF(Detail!$B$4:$B$21,'Summary V.1'!B18,Detail!$H$4:$H$21)</f>
        <v>225000000</v>
      </c>
      <c r="J18" s="22">
        <f t="shared" si="1"/>
        <v>22500000</v>
      </c>
      <c r="K18" s="23">
        <f t="shared" si="2"/>
        <v>45000000</v>
      </c>
      <c r="L18" s="23"/>
      <c r="M18" s="23">
        <f t="shared" si="7"/>
        <v>45000000</v>
      </c>
      <c r="N18" s="20"/>
      <c r="O18" s="23">
        <f>E18</f>
        <v>2</v>
      </c>
      <c r="P18" s="20"/>
      <c r="Q18" s="20"/>
      <c r="R18" s="20"/>
      <c r="S18" s="20"/>
      <c r="T18" s="20"/>
      <c r="U18" s="23">
        <f t="shared" si="3"/>
        <v>2</v>
      </c>
      <c r="V18" s="23">
        <f t="shared" si="4"/>
        <v>0</v>
      </c>
      <c r="W18" s="22">
        <f t="shared" si="5"/>
        <v>45000000</v>
      </c>
      <c r="X18" s="23">
        <f t="shared" si="6"/>
        <v>0</v>
      </c>
      <c r="Y18" s="42">
        <v>45868</v>
      </c>
      <c r="Z18" s="42">
        <v>45873</v>
      </c>
      <c r="AA18" s="42">
        <v>45904</v>
      </c>
      <c r="AB18" s="42"/>
      <c r="AC18" s="20" t="s">
        <v>63</v>
      </c>
      <c r="AD18" s="20"/>
      <c r="AF18" s="1">
        <f>VLOOKUP(B18,investasi!$B$5:$G$18,6,0)</f>
        <v>45000000</v>
      </c>
      <c r="AG18" s="2">
        <f t="shared" si="8"/>
        <v>45000000</v>
      </c>
      <c r="AH18" s="2">
        <f t="shared" si="9"/>
        <v>0</v>
      </c>
    </row>
    <row r="19" spans="1:35" s="126" customFormat="1" x14ac:dyDescent="0.25">
      <c r="A19" s="120">
        <v>8</v>
      </c>
      <c r="B19" s="120">
        <v>5200777098</v>
      </c>
      <c r="C19" s="121">
        <f>VLOOKUP($B19,Detail!$B$4:$Q$25,2,0)</f>
        <v>45877</v>
      </c>
      <c r="D19" s="122" t="s">
        <v>44</v>
      </c>
      <c r="E19" s="123">
        <f>SUMIF(Detail!$B$4:$B$25,'Summary V.1'!$B19,Detail!$E$4:$E$25)</f>
        <v>1</v>
      </c>
      <c r="F19" s="123"/>
      <c r="G19" s="123">
        <f>VLOOKUP($B19,Detail!$B$4:$Q$25,5,0)</f>
        <v>1149199000</v>
      </c>
      <c r="H19" s="123">
        <f t="shared" si="0"/>
        <v>1149199000</v>
      </c>
      <c r="I19" s="123">
        <f>SUMIF(Detail!$B$4:$B$25,'Summary V.1'!B19,Detail!$H$4:$H$25)</f>
        <v>574599500</v>
      </c>
      <c r="J19" s="123">
        <f t="shared" si="1"/>
        <v>114919900</v>
      </c>
      <c r="K19" s="124">
        <f t="shared" si="2"/>
        <v>114919900</v>
      </c>
      <c r="L19" s="124"/>
      <c r="M19" s="124">
        <f>SUM(K19:L19)</f>
        <v>114919900</v>
      </c>
      <c r="N19" s="122"/>
      <c r="O19" s="124">
        <v>0</v>
      </c>
      <c r="P19" s="122">
        <v>1</v>
      </c>
      <c r="Q19" s="122"/>
      <c r="R19" s="122"/>
      <c r="S19" s="122"/>
      <c r="T19" s="122"/>
      <c r="U19" s="124">
        <f t="shared" si="3"/>
        <v>1</v>
      </c>
      <c r="V19" s="124">
        <f t="shared" si="4"/>
        <v>0</v>
      </c>
      <c r="W19" s="123">
        <f t="shared" si="5"/>
        <v>114919900</v>
      </c>
      <c r="X19" s="124">
        <f t="shared" si="6"/>
        <v>0</v>
      </c>
      <c r="Y19" s="125">
        <v>45930</v>
      </c>
      <c r="Z19" s="125">
        <f>Y19+7</f>
        <v>45937</v>
      </c>
      <c r="AA19" s="125">
        <f>Z19+30</f>
        <v>45967</v>
      </c>
      <c r="AB19" s="125">
        <f>Z19+60</f>
        <v>45997</v>
      </c>
      <c r="AC19" s="122" t="s">
        <v>63</v>
      </c>
      <c r="AD19" s="122"/>
      <c r="AF19" s="127">
        <f>VLOOKUP(B19,investasi!$B$5:$G$18,6,0)</f>
        <v>57248700</v>
      </c>
      <c r="AG19" s="128">
        <f t="shared" si="8"/>
        <v>114919900</v>
      </c>
      <c r="AH19" s="128">
        <f t="shared" si="9"/>
        <v>-57671200</v>
      </c>
      <c r="AI19" s="126" t="s">
        <v>128</v>
      </c>
    </row>
    <row r="20" spans="1:35" s="132" customFormat="1" x14ac:dyDescent="0.25">
      <c r="A20" s="130">
        <v>9</v>
      </c>
      <c r="B20" s="130">
        <v>5200776987</v>
      </c>
      <c r="C20" s="131">
        <f>VLOOKUP($B20,Detail!$B$4:$Q$25,2,0)</f>
        <v>45877</v>
      </c>
      <c r="D20" s="135" t="s">
        <v>3</v>
      </c>
      <c r="E20" s="133">
        <f>SUMIF(Detail!$B$4:$B$25,'Summary V.1'!$B20,Detail!$E$4:$E$25)</f>
        <v>2</v>
      </c>
      <c r="F20" s="133"/>
      <c r="G20" s="133">
        <f>VLOOKUP($B20,Detail!$B$4:$Q$25,5,0)</f>
        <v>225000000</v>
      </c>
      <c r="H20" s="133">
        <f t="shared" si="0"/>
        <v>450000000</v>
      </c>
      <c r="I20" s="133">
        <f>SUMIF(Detail!$B$4:$B$25,'Summary V.1'!B20,Detail!$H$4:$H$25)</f>
        <v>225000000</v>
      </c>
      <c r="J20" s="133">
        <f t="shared" si="1"/>
        <v>22500000</v>
      </c>
      <c r="K20" s="134">
        <f t="shared" si="2"/>
        <v>45000000</v>
      </c>
      <c r="L20" s="134"/>
      <c r="M20" s="134">
        <f t="shared" ref="M20:M29" si="10">SUM(K20:L20)</f>
        <v>45000000</v>
      </c>
      <c r="N20" s="135"/>
      <c r="O20" s="134">
        <v>0</v>
      </c>
      <c r="P20" s="135">
        <v>2</v>
      </c>
      <c r="Q20" s="135"/>
      <c r="R20" s="135"/>
      <c r="S20" s="135"/>
      <c r="T20" s="135"/>
      <c r="U20" s="134">
        <f t="shared" si="3"/>
        <v>2</v>
      </c>
      <c r="V20" s="134">
        <f t="shared" si="4"/>
        <v>0</v>
      </c>
      <c r="W20" s="133">
        <f t="shared" si="5"/>
        <v>45000000</v>
      </c>
      <c r="X20" s="134">
        <f t="shared" si="6"/>
        <v>0</v>
      </c>
      <c r="Y20" s="136">
        <v>45923</v>
      </c>
      <c r="Z20" s="136">
        <f t="shared" ref="Z20:Z26" si="11">Y20+7</f>
        <v>45930</v>
      </c>
      <c r="AA20" s="136">
        <f t="shared" ref="AA20:AA26" si="12">Z20+30</f>
        <v>45960</v>
      </c>
      <c r="AB20" s="136">
        <f t="shared" ref="AB20:AB28" si="13">Z20+60</f>
        <v>45990</v>
      </c>
      <c r="AC20" s="20" t="s">
        <v>63</v>
      </c>
      <c r="AD20" s="135"/>
      <c r="AF20" s="138">
        <f>VLOOKUP(B20,investasi!$B$5:$G$18,6,0)</f>
        <v>45000000</v>
      </c>
      <c r="AG20" s="139">
        <f t="shared" si="8"/>
        <v>45000000</v>
      </c>
      <c r="AH20" s="139">
        <f t="shared" si="9"/>
        <v>0</v>
      </c>
    </row>
    <row r="21" spans="1:35" s="132" customFormat="1" x14ac:dyDescent="0.25">
      <c r="A21" s="130">
        <v>10</v>
      </c>
      <c r="B21" s="130">
        <v>5200777132</v>
      </c>
      <c r="C21" s="131">
        <f>VLOOKUP($B21,Detail!$B$4:$Q$110,2,0)</f>
        <v>45880</v>
      </c>
      <c r="D21" s="135" t="s">
        <v>50</v>
      </c>
      <c r="E21" s="133">
        <v>20</v>
      </c>
      <c r="F21" s="133"/>
      <c r="G21" s="133">
        <f>VLOOKUP($B21,Detail!$B$4:$Q$25,5,0)</f>
        <v>40457500</v>
      </c>
      <c r="H21" s="133">
        <f t="shared" si="0"/>
        <v>809150000</v>
      </c>
      <c r="I21" s="133">
        <f t="shared" ref="I21:I26" si="14">H21*50%</f>
        <v>404575000</v>
      </c>
      <c r="J21" s="133">
        <f>(I21*13%)/E21</f>
        <v>2629737.5</v>
      </c>
      <c r="K21" s="134">
        <f>I21*13%</f>
        <v>52594750</v>
      </c>
      <c r="L21" s="134"/>
      <c r="M21" s="134">
        <f t="shared" si="10"/>
        <v>52594750</v>
      </c>
      <c r="N21" s="135"/>
      <c r="O21" s="134">
        <v>0</v>
      </c>
      <c r="P21" s="135"/>
      <c r="Q21" s="135">
        <v>20</v>
      </c>
      <c r="R21" s="135"/>
      <c r="S21" s="135"/>
      <c r="T21" s="135"/>
      <c r="U21" s="134">
        <f t="shared" si="3"/>
        <v>20</v>
      </c>
      <c r="V21" s="134">
        <f t="shared" si="4"/>
        <v>0</v>
      </c>
      <c r="W21" s="133">
        <f t="shared" si="5"/>
        <v>52594750</v>
      </c>
      <c r="X21" s="134">
        <f t="shared" si="6"/>
        <v>0</v>
      </c>
      <c r="Y21" s="136">
        <v>45922</v>
      </c>
      <c r="Z21" s="136">
        <f t="shared" si="11"/>
        <v>45929</v>
      </c>
      <c r="AA21" s="136">
        <f t="shared" si="12"/>
        <v>45959</v>
      </c>
      <c r="AB21" s="136">
        <f t="shared" si="13"/>
        <v>45989</v>
      </c>
      <c r="AC21" s="20" t="s">
        <v>63</v>
      </c>
      <c r="AD21" s="135"/>
      <c r="AF21" s="138">
        <f>VLOOKUP(B21,investasi!$B$5:$G$18,6,0)</f>
        <v>52594750</v>
      </c>
      <c r="AG21" s="139">
        <f t="shared" si="8"/>
        <v>52594750</v>
      </c>
      <c r="AH21" s="139">
        <f t="shared" si="9"/>
        <v>0</v>
      </c>
    </row>
    <row r="22" spans="1:35" s="126" customFormat="1" x14ac:dyDescent="0.25">
      <c r="A22" s="120">
        <v>11</v>
      </c>
      <c r="B22" s="120">
        <f>Detail!$B$45</f>
        <v>5200972695</v>
      </c>
      <c r="C22" s="121">
        <f>Detail!$C$45</f>
        <v>45891</v>
      </c>
      <c r="D22" s="122" t="s">
        <v>56</v>
      </c>
      <c r="E22" s="123">
        <v>8</v>
      </c>
      <c r="F22" s="123">
        <v>75000000</v>
      </c>
      <c r="G22" s="123">
        <v>100500000</v>
      </c>
      <c r="H22" s="123">
        <f t="shared" si="0"/>
        <v>804000000</v>
      </c>
      <c r="I22" s="123">
        <f t="shared" si="14"/>
        <v>402000000</v>
      </c>
      <c r="J22" s="123">
        <v>12750000</v>
      </c>
      <c r="K22" s="124">
        <f>E22*J22</f>
        <v>102000000</v>
      </c>
      <c r="L22" s="124"/>
      <c r="M22" s="124">
        <f t="shared" si="10"/>
        <v>102000000</v>
      </c>
      <c r="N22" s="122"/>
      <c r="O22" s="124">
        <v>0</v>
      </c>
      <c r="P22" s="122">
        <v>8</v>
      </c>
      <c r="Q22" s="122"/>
      <c r="R22" s="122"/>
      <c r="S22" s="122"/>
      <c r="T22" s="122" t="s">
        <v>58</v>
      </c>
      <c r="U22" s="124">
        <f t="shared" si="3"/>
        <v>8</v>
      </c>
      <c r="V22" s="124">
        <f t="shared" si="4"/>
        <v>0</v>
      </c>
      <c r="W22" s="123">
        <f t="shared" si="5"/>
        <v>102000000</v>
      </c>
      <c r="X22" s="124">
        <f t="shared" si="6"/>
        <v>0</v>
      </c>
      <c r="Y22" s="125">
        <v>45925</v>
      </c>
      <c r="Z22" s="129">
        <f t="shared" si="11"/>
        <v>45932</v>
      </c>
      <c r="AA22" s="129">
        <f t="shared" si="12"/>
        <v>45962</v>
      </c>
      <c r="AB22" s="125">
        <f t="shared" si="13"/>
        <v>45992</v>
      </c>
      <c r="AC22" s="122" t="s">
        <v>63</v>
      </c>
      <c r="AD22" s="122"/>
      <c r="AF22" s="127">
        <f>VLOOKUP(B22,investasi!$B$5:$G$18,6,0)</f>
        <v>80400000</v>
      </c>
      <c r="AG22" s="128">
        <f t="shared" si="8"/>
        <v>102000000</v>
      </c>
      <c r="AH22" s="128">
        <f t="shared" si="9"/>
        <v>-21600000</v>
      </c>
      <c r="AI22" s="126" t="s">
        <v>113</v>
      </c>
    </row>
    <row r="23" spans="1:35" s="132" customFormat="1" x14ac:dyDescent="0.25">
      <c r="A23" s="130">
        <v>12</v>
      </c>
      <c r="B23" s="130">
        <f>Detail!B53</f>
        <v>5200777558</v>
      </c>
      <c r="C23" s="131">
        <v>45901</v>
      </c>
      <c r="D23" s="132" t="s">
        <v>61</v>
      </c>
      <c r="E23" s="133">
        <v>1</v>
      </c>
      <c r="F23" s="133"/>
      <c r="G23" s="133">
        <f>Detail!F53</f>
        <v>685000000</v>
      </c>
      <c r="H23" s="133">
        <f t="shared" si="0"/>
        <v>685000000</v>
      </c>
      <c r="I23" s="133">
        <f t="shared" si="14"/>
        <v>342500000</v>
      </c>
      <c r="J23" s="133">
        <f t="shared" ref="J23" si="15">(I23*20%)/E23</f>
        <v>68500000</v>
      </c>
      <c r="K23" s="134">
        <f t="shared" ref="K23" si="16">I23*20%</f>
        <v>68500000</v>
      </c>
      <c r="L23" s="134"/>
      <c r="M23" s="134">
        <f t="shared" si="10"/>
        <v>68500000</v>
      </c>
      <c r="N23" s="135"/>
      <c r="O23" s="134"/>
      <c r="P23" s="135">
        <v>1</v>
      </c>
      <c r="Q23" s="135"/>
      <c r="R23" s="135"/>
      <c r="S23" s="135"/>
      <c r="T23" s="135"/>
      <c r="U23" s="134">
        <f t="shared" si="3"/>
        <v>1</v>
      </c>
      <c r="V23" s="134">
        <f t="shared" si="4"/>
        <v>0</v>
      </c>
      <c r="W23" s="133">
        <f t="shared" si="5"/>
        <v>68500000</v>
      </c>
      <c r="X23" s="134">
        <f t="shared" si="6"/>
        <v>0</v>
      </c>
      <c r="Y23" s="136">
        <v>45923</v>
      </c>
      <c r="Z23" s="137">
        <f t="shared" si="11"/>
        <v>45930</v>
      </c>
      <c r="AA23" s="137">
        <f t="shared" si="12"/>
        <v>45960</v>
      </c>
      <c r="AB23" s="136">
        <f t="shared" si="13"/>
        <v>45990</v>
      </c>
      <c r="AC23" s="20" t="s">
        <v>63</v>
      </c>
      <c r="AD23" s="135"/>
      <c r="AF23" s="138">
        <f>VLOOKUP(B23,investasi!$B$5:$G$18,6,0)</f>
        <v>68500000</v>
      </c>
      <c r="AG23" s="139">
        <f t="shared" si="8"/>
        <v>68500000</v>
      </c>
      <c r="AH23" s="139">
        <f t="shared" si="9"/>
        <v>0</v>
      </c>
    </row>
    <row r="24" spans="1:35" s="132" customFormat="1" x14ac:dyDescent="0.25">
      <c r="A24" s="130">
        <v>13</v>
      </c>
      <c r="B24" s="130">
        <f>Detail!B54</f>
        <v>5200777559</v>
      </c>
      <c r="C24" s="131">
        <v>45901</v>
      </c>
      <c r="D24" s="135" t="s">
        <v>3</v>
      </c>
      <c r="E24" s="133">
        <v>2</v>
      </c>
      <c r="F24" s="133"/>
      <c r="G24" s="133">
        <f>Detail!F54</f>
        <v>225000000</v>
      </c>
      <c r="H24" s="133">
        <f t="shared" ref="H24:H25" si="17">E24*G24</f>
        <v>450000000</v>
      </c>
      <c r="I24" s="133">
        <f t="shared" si="14"/>
        <v>225000000</v>
      </c>
      <c r="J24" s="133">
        <f t="shared" ref="J24" si="18">(I24*20%)/E24</f>
        <v>22500000</v>
      </c>
      <c r="K24" s="134">
        <f t="shared" ref="K24" si="19">I24*20%</f>
        <v>45000000</v>
      </c>
      <c r="L24" s="134"/>
      <c r="M24" s="134">
        <f t="shared" si="10"/>
        <v>45000000</v>
      </c>
      <c r="N24" s="135"/>
      <c r="O24" s="134"/>
      <c r="P24" s="135">
        <v>2</v>
      </c>
      <c r="Q24" s="135"/>
      <c r="R24" s="135"/>
      <c r="S24" s="135"/>
      <c r="T24" s="135"/>
      <c r="U24" s="134">
        <f t="shared" ref="U24:U25" si="20">SUM(N24:S24)</f>
        <v>2</v>
      </c>
      <c r="V24" s="134">
        <f t="shared" ref="V24:V25" si="21">E24-U24</f>
        <v>0</v>
      </c>
      <c r="W24" s="133">
        <f t="shared" si="5"/>
        <v>45000000</v>
      </c>
      <c r="X24" s="134">
        <f t="shared" si="6"/>
        <v>0</v>
      </c>
      <c r="Y24" s="137">
        <v>45925</v>
      </c>
      <c r="Z24" s="137">
        <f t="shared" si="11"/>
        <v>45932</v>
      </c>
      <c r="AA24" s="137">
        <f t="shared" si="12"/>
        <v>45962</v>
      </c>
      <c r="AB24" s="136">
        <f t="shared" si="13"/>
        <v>45992</v>
      </c>
      <c r="AC24" s="20" t="s">
        <v>63</v>
      </c>
      <c r="AD24" s="133"/>
      <c r="AF24" s="138">
        <f>VLOOKUP(B24,investasi!$B$5:$G$18,6,0)</f>
        <v>45000000</v>
      </c>
      <c r="AG24" s="139">
        <f t="shared" si="8"/>
        <v>45000000</v>
      </c>
      <c r="AH24" s="139">
        <f t="shared" si="9"/>
        <v>0</v>
      </c>
    </row>
    <row r="25" spans="1:35" s="132" customFormat="1" x14ac:dyDescent="0.25">
      <c r="A25" s="130">
        <v>14</v>
      </c>
      <c r="B25" s="130">
        <f>Detail!$B$56</f>
        <v>5200777758</v>
      </c>
      <c r="C25" s="131">
        <v>45909</v>
      </c>
      <c r="D25" s="135" t="s">
        <v>64</v>
      </c>
      <c r="E25" s="133">
        <v>1</v>
      </c>
      <c r="F25" s="133"/>
      <c r="G25" s="133">
        <f>Detail!F56</f>
        <v>2231048200</v>
      </c>
      <c r="H25" s="133">
        <f t="shared" si="17"/>
        <v>2231048200</v>
      </c>
      <c r="I25" s="133">
        <f t="shared" si="14"/>
        <v>1115524100</v>
      </c>
      <c r="J25" s="133">
        <f t="shared" ref="J25" si="22">(I25*20%)/E25</f>
        <v>223104820</v>
      </c>
      <c r="K25" s="134">
        <f t="shared" ref="K25" si="23">I25*20%</f>
        <v>223104820</v>
      </c>
      <c r="L25" s="134"/>
      <c r="M25" s="134">
        <f t="shared" si="10"/>
        <v>223104820</v>
      </c>
      <c r="N25" s="135"/>
      <c r="O25" s="134"/>
      <c r="P25" s="135">
        <v>1</v>
      </c>
      <c r="Q25" s="135"/>
      <c r="R25" s="135"/>
      <c r="S25" s="135"/>
      <c r="T25" s="135"/>
      <c r="U25" s="134">
        <f t="shared" si="20"/>
        <v>1</v>
      </c>
      <c r="V25" s="134">
        <f t="shared" si="21"/>
        <v>0</v>
      </c>
      <c r="W25" s="133">
        <f t="shared" ref="W25" si="24">J25*U25</f>
        <v>223104820</v>
      </c>
      <c r="X25" s="134">
        <f t="shared" si="6"/>
        <v>0</v>
      </c>
      <c r="Y25" s="137">
        <v>45930</v>
      </c>
      <c r="Z25" s="137">
        <f t="shared" si="11"/>
        <v>45937</v>
      </c>
      <c r="AA25" s="137">
        <f t="shared" si="12"/>
        <v>45967</v>
      </c>
      <c r="AB25" s="136">
        <f t="shared" si="13"/>
        <v>45997</v>
      </c>
      <c r="AC25" s="20" t="s">
        <v>63</v>
      </c>
      <c r="AD25" s="135"/>
      <c r="AF25" s="138">
        <f>VLOOKUP(B25,investasi!$B$5:$G$18,6,0)</f>
        <v>223104820</v>
      </c>
      <c r="AG25" s="139">
        <f t="shared" si="8"/>
        <v>223104820</v>
      </c>
      <c r="AH25" s="139">
        <f t="shared" si="9"/>
        <v>0</v>
      </c>
    </row>
    <row r="26" spans="1:35" s="40" customFormat="1" x14ac:dyDescent="0.25">
      <c r="A26" s="34">
        <v>15</v>
      </c>
      <c r="B26" s="34">
        <f>Detail!$B$58</f>
        <v>5200778319</v>
      </c>
      <c r="C26" s="35">
        <v>45909</v>
      </c>
      <c r="D26" s="36" t="str">
        <f>Detail!$D$58</f>
        <v>Top Frame 800</v>
      </c>
      <c r="E26" s="37">
        <v>2</v>
      </c>
      <c r="F26" s="37"/>
      <c r="G26" s="37">
        <f>Detail!$F$58</f>
        <v>225000000</v>
      </c>
      <c r="H26" s="37">
        <f t="shared" ref="H26:H28" si="25">E26*G26</f>
        <v>450000000</v>
      </c>
      <c r="I26" s="37">
        <f t="shared" si="14"/>
        <v>225000000</v>
      </c>
      <c r="J26" s="37">
        <f t="shared" ref="J26:J28" si="26">(I26*20%)/E26</f>
        <v>22500000</v>
      </c>
      <c r="K26" s="38">
        <f t="shared" ref="K26" si="27">I26*20%</f>
        <v>45000000</v>
      </c>
      <c r="L26" s="38"/>
      <c r="M26" s="38">
        <f t="shared" si="10"/>
        <v>45000000</v>
      </c>
      <c r="N26" s="36"/>
      <c r="O26" s="38"/>
      <c r="P26" s="36">
        <v>2</v>
      </c>
      <c r="Q26" s="36"/>
      <c r="R26" s="36"/>
      <c r="S26" s="36"/>
      <c r="T26" s="36"/>
      <c r="U26" s="38">
        <f t="shared" ref="U26:U27" si="28">SUM(N26:S26)</f>
        <v>2</v>
      </c>
      <c r="V26" s="38">
        <f t="shared" ref="V26:V27" si="29">E26-U26</f>
        <v>0</v>
      </c>
      <c r="W26" s="37">
        <f t="shared" ref="W26" si="30">J26*U26</f>
        <v>45000000</v>
      </c>
      <c r="X26" s="38">
        <f t="shared" si="6"/>
        <v>0</v>
      </c>
      <c r="Y26" s="41">
        <v>45940</v>
      </c>
      <c r="Z26" s="41">
        <f t="shared" si="11"/>
        <v>45947</v>
      </c>
      <c r="AA26" s="41">
        <f t="shared" si="12"/>
        <v>45977</v>
      </c>
      <c r="AB26" s="39">
        <f t="shared" si="13"/>
        <v>46007</v>
      </c>
      <c r="AC26" s="36" t="s">
        <v>69</v>
      </c>
      <c r="AD26" s="36"/>
      <c r="AF26" s="1">
        <f>VLOOKUP(B26,investasi!$B$23:$G$26,6,0)</f>
        <v>45000000</v>
      </c>
      <c r="AG26" s="2">
        <f>M26</f>
        <v>45000000</v>
      </c>
      <c r="AH26" s="139">
        <f t="shared" si="9"/>
        <v>0</v>
      </c>
    </row>
    <row r="27" spans="1:35" s="40" customFormat="1" x14ac:dyDescent="0.25">
      <c r="A27" s="34">
        <v>16</v>
      </c>
      <c r="B27" s="34">
        <v>5200778328</v>
      </c>
      <c r="C27" s="35">
        <v>45915</v>
      </c>
      <c r="D27" s="36" t="s">
        <v>61</v>
      </c>
      <c r="E27" s="37">
        <v>1</v>
      </c>
      <c r="F27" s="37"/>
      <c r="G27" s="37">
        <f>Detail!F59</f>
        <v>685000000</v>
      </c>
      <c r="H27" s="37">
        <f t="shared" si="25"/>
        <v>685000000</v>
      </c>
      <c r="I27" s="37">
        <f t="shared" ref="I27:I28" si="31">H27*50%</f>
        <v>342500000</v>
      </c>
      <c r="J27" s="37">
        <f t="shared" si="26"/>
        <v>68500000</v>
      </c>
      <c r="K27" s="38">
        <f>(I27*20%)+F27</f>
        <v>68500000</v>
      </c>
      <c r="L27" s="38">
        <v>66261000</v>
      </c>
      <c r="M27" s="38">
        <f t="shared" si="10"/>
        <v>134761000</v>
      </c>
      <c r="N27" s="36"/>
      <c r="O27" s="38"/>
      <c r="P27" s="36">
        <v>1</v>
      </c>
      <c r="Q27" s="36"/>
      <c r="R27" s="36"/>
      <c r="S27" s="36"/>
      <c r="T27" s="36"/>
      <c r="U27" s="38">
        <f t="shared" si="28"/>
        <v>1</v>
      </c>
      <c r="V27" s="38">
        <f t="shared" si="29"/>
        <v>0</v>
      </c>
      <c r="W27" s="37">
        <f>J27*U27+L27</f>
        <v>134761000</v>
      </c>
      <c r="X27" s="38">
        <f>K27+L27-W27</f>
        <v>0</v>
      </c>
      <c r="Y27" s="41">
        <v>45940</v>
      </c>
      <c r="Z27" s="41">
        <f t="shared" ref="Z27:Z28" si="32">Y27+7</f>
        <v>45947</v>
      </c>
      <c r="AA27" s="41">
        <f t="shared" ref="AA27:AA28" si="33">Z27+30</f>
        <v>45977</v>
      </c>
      <c r="AB27" s="39">
        <f t="shared" si="13"/>
        <v>46007</v>
      </c>
      <c r="AC27" s="36" t="s">
        <v>69</v>
      </c>
      <c r="AD27" s="36"/>
      <c r="AF27" s="1">
        <f>VLOOKUP(B27,investasi!$B$23:$G$26,6,0)+investasi!I24</f>
        <v>134761000</v>
      </c>
      <c r="AG27" s="2">
        <f t="shared" si="8"/>
        <v>134761000</v>
      </c>
      <c r="AH27" s="139">
        <f t="shared" si="9"/>
        <v>0</v>
      </c>
    </row>
    <row r="28" spans="1:35" s="156" customFormat="1" x14ac:dyDescent="0.25">
      <c r="A28" s="149">
        <v>17</v>
      </c>
      <c r="B28" s="149">
        <v>5200779579</v>
      </c>
      <c r="C28" s="150">
        <v>45960</v>
      </c>
      <c r="D28" s="151" t="s">
        <v>88</v>
      </c>
      <c r="E28" s="152">
        <v>1</v>
      </c>
      <c r="F28" s="152"/>
      <c r="G28" s="152">
        <v>312000000</v>
      </c>
      <c r="H28" s="152">
        <f t="shared" si="25"/>
        <v>312000000</v>
      </c>
      <c r="I28" s="152">
        <f t="shared" si="31"/>
        <v>156000000</v>
      </c>
      <c r="J28" s="152">
        <f t="shared" si="26"/>
        <v>31200000</v>
      </c>
      <c r="K28" s="153">
        <f>(I28*20%)+F28</f>
        <v>31200000</v>
      </c>
      <c r="L28" s="153"/>
      <c r="M28" s="153">
        <f t="shared" si="10"/>
        <v>31200000</v>
      </c>
      <c r="N28" s="151"/>
      <c r="O28" s="153"/>
      <c r="P28" s="151"/>
      <c r="Q28" s="151"/>
      <c r="R28" s="151"/>
      <c r="S28" s="151"/>
      <c r="T28" s="151"/>
      <c r="U28" s="153"/>
      <c r="V28" s="153"/>
      <c r="W28" s="152">
        <f>J28*U28+L28</f>
        <v>0</v>
      </c>
      <c r="X28" s="153">
        <f>K28+L28-W28</f>
        <v>31200000</v>
      </c>
      <c r="Y28" s="154">
        <v>45991</v>
      </c>
      <c r="Z28" s="154">
        <f t="shared" si="32"/>
        <v>45998</v>
      </c>
      <c r="AA28" s="154">
        <f t="shared" si="33"/>
        <v>46028</v>
      </c>
      <c r="AB28" s="155">
        <f t="shared" si="13"/>
        <v>46058</v>
      </c>
      <c r="AC28" s="151" t="s">
        <v>65</v>
      </c>
      <c r="AD28" s="151"/>
      <c r="AF28" s="157">
        <v>0</v>
      </c>
      <c r="AG28" s="158">
        <f t="shared" si="8"/>
        <v>31200000</v>
      </c>
      <c r="AH28" s="158">
        <f t="shared" si="9"/>
        <v>-31200000</v>
      </c>
    </row>
    <row r="29" spans="1:35" ht="14.25" customHeight="1" x14ac:dyDescent="0.25">
      <c r="A29" s="31">
        <v>18</v>
      </c>
      <c r="B29" s="31">
        <f>Detail!B60</f>
        <v>5200779815</v>
      </c>
      <c r="C29" s="16">
        <v>45965</v>
      </c>
      <c r="D29" s="4" t="s">
        <v>61</v>
      </c>
      <c r="E29" s="78">
        <v>1</v>
      </c>
      <c r="F29" s="78"/>
      <c r="G29" s="78">
        <f>Detail!F60</f>
        <v>685000000</v>
      </c>
      <c r="H29" s="78">
        <f t="shared" ref="H29" si="34">E29*G29</f>
        <v>685000000</v>
      </c>
      <c r="I29" s="78">
        <f t="shared" ref="I29" si="35">H29*50%</f>
        <v>342500000</v>
      </c>
      <c r="J29" s="78">
        <f t="shared" ref="J29" si="36">(I29*20%)/E29</f>
        <v>68500000</v>
      </c>
      <c r="K29" s="7">
        <f>(I29*20%)+F29</f>
        <v>68500000</v>
      </c>
      <c r="L29" s="7">
        <v>66261000</v>
      </c>
      <c r="M29" s="7">
        <f t="shared" si="10"/>
        <v>134761000</v>
      </c>
      <c r="N29" s="4"/>
      <c r="O29" s="7"/>
      <c r="P29" s="4"/>
      <c r="Q29" s="4"/>
      <c r="R29" s="4"/>
      <c r="S29" s="4"/>
      <c r="T29" s="4"/>
      <c r="U29" s="7"/>
      <c r="V29" s="7"/>
      <c r="W29" s="78"/>
      <c r="X29" s="7">
        <f>K29+L29-W29</f>
        <v>134761000</v>
      </c>
      <c r="Y29" s="27"/>
      <c r="Z29" s="27"/>
      <c r="AA29" s="27"/>
      <c r="AB29" s="27"/>
      <c r="AC29" s="4" t="s">
        <v>65</v>
      </c>
      <c r="AD29" s="4"/>
      <c r="AF29" s="82">
        <f>VLOOKUP(B29,investasi!$B$23:$G$26,6,0)+investasi!I26</f>
        <v>134761000</v>
      </c>
      <c r="AG29" s="2">
        <f t="shared" si="8"/>
        <v>134761000</v>
      </c>
      <c r="AH29" s="2">
        <f t="shared" si="9"/>
        <v>0</v>
      </c>
    </row>
    <row r="30" spans="1:35" ht="14.25" customHeight="1" x14ac:dyDescent="0.25">
      <c r="A30" s="31">
        <v>9</v>
      </c>
      <c r="B30" s="31">
        <v>5200988854</v>
      </c>
      <c r="C30" s="16">
        <v>45977</v>
      </c>
      <c r="D30" s="4" t="s">
        <v>114</v>
      </c>
      <c r="E30" s="78">
        <v>150</v>
      </c>
      <c r="F30" s="78"/>
      <c r="G30" s="78">
        <v>4990500</v>
      </c>
      <c r="H30" s="78">
        <f>E30*G30</f>
        <v>748575000</v>
      </c>
      <c r="I30" s="78">
        <f t="shared" ref="I30" si="37">H30*50%</f>
        <v>374287500</v>
      </c>
      <c r="J30" s="78">
        <f t="shared" ref="J30" si="38">(I30*20%)/E30</f>
        <v>499050</v>
      </c>
      <c r="K30" s="7">
        <f>(I30*20%)+F30</f>
        <v>74857500</v>
      </c>
      <c r="L30" s="7"/>
      <c r="M30" s="7">
        <f t="shared" ref="M30" si="39">SUM(K30:L30)</f>
        <v>74857500</v>
      </c>
      <c r="N30" s="4"/>
      <c r="O30" s="7"/>
      <c r="P30" s="4"/>
      <c r="Q30" s="4"/>
      <c r="R30" s="4"/>
      <c r="S30" s="4"/>
      <c r="T30" s="4"/>
      <c r="U30" s="7"/>
      <c r="V30" s="7"/>
      <c r="W30" s="78"/>
      <c r="X30" s="7">
        <f>K30+L30-W30</f>
        <v>74857500</v>
      </c>
      <c r="Y30" s="27"/>
      <c r="Z30" s="27"/>
      <c r="AA30" s="27"/>
      <c r="AB30" s="27"/>
      <c r="AC30" s="4" t="s">
        <v>65</v>
      </c>
      <c r="AD30" s="4"/>
      <c r="AF30" s="82"/>
      <c r="AG30" s="2"/>
      <c r="AH30" s="2"/>
    </row>
    <row r="31" spans="1:35" ht="14.25" customHeight="1" x14ac:dyDescent="0.25">
      <c r="A31" s="31"/>
      <c r="C31" s="15"/>
      <c r="E31" s="79"/>
      <c r="F31" s="79"/>
      <c r="G31" s="79"/>
      <c r="H31" s="79"/>
      <c r="I31" s="79"/>
      <c r="J31" s="79"/>
      <c r="K31" s="2"/>
      <c r="L31" s="2"/>
      <c r="M31" s="2"/>
      <c r="O31" s="2"/>
      <c r="U31" s="2"/>
      <c r="V31" s="2"/>
      <c r="W31" s="79"/>
      <c r="X31" s="2"/>
      <c r="Y31" s="159"/>
      <c r="Z31" s="159"/>
      <c r="AA31" s="159"/>
      <c r="AB31" s="159"/>
      <c r="AF31" s="82"/>
      <c r="AG31" s="2"/>
      <c r="AH31" s="2"/>
    </row>
    <row r="32" spans="1:35" ht="14.25" customHeight="1" x14ac:dyDescent="0.25">
      <c r="A32" s="29"/>
      <c r="C32" s="15"/>
      <c r="E32" s="79"/>
      <c r="F32" s="79"/>
      <c r="G32" s="79"/>
      <c r="H32" s="79"/>
      <c r="I32" s="79"/>
      <c r="J32" s="79"/>
      <c r="K32" s="2"/>
      <c r="L32" s="2"/>
      <c r="M32" s="2"/>
      <c r="O32" s="2"/>
      <c r="U32" s="2"/>
      <c r="V32" s="2"/>
      <c r="W32" s="79"/>
      <c r="X32" s="2"/>
      <c r="Y32" s="159"/>
      <c r="Z32" s="159"/>
      <c r="AA32" s="159"/>
      <c r="AB32" s="159"/>
      <c r="AF32" s="82"/>
      <c r="AG32" s="2"/>
      <c r="AH32" s="2"/>
    </row>
    <row r="33" spans="1:34" ht="14.25" customHeight="1" x14ac:dyDescent="0.25">
      <c r="A33" s="29"/>
      <c r="C33" s="15"/>
      <c r="E33" s="79"/>
      <c r="F33" s="79"/>
      <c r="G33" s="79"/>
      <c r="H33" s="79"/>
      <c r="I33" s="79"/>
      <c r="J33" s="79"/>
      <c r="K33" s="2"/>
      <c r="L33" s="2"/>
      <c r="M33" s="2"/>
      <c r="O33" s="2"/>
      <c r="U33" s="2"/>
      <c r="V33" s="2"/>
      <c r="W33" s="79"/>
      <c r="X33" s="2"/>
      <c r="Y33" s="159"/>
      <c r="Z33" s="159"/>
      <c r="AA33" s="159"/>
      <c r="AB33" s="159"/>
      <c r="AF33" s="82"/>
      <c r="AG33" s="2"/>
      <c r="AH33" s="2"/>
    </row>
    <row r="34" spans="1:34" ht="14.25" customHeight="1" x14ac:dyDescent="0.25">
      <c r="A34" s="29"/>
      <c r="C34" s="15"/>
      <c r="E34" s="79"/>
      <c r="F34" s="79"/>
      <c r="G34" s="79"/>
      <c r="H34" s="79"/>
      <c r="I34" s="79"/>
      <c r="J34" s="79"/>
      <c r="K34" s="2"/>
      <c r="L34" s="2"/>
      <c r="M34" s="2"/>
      <c r="O34" s="2"/>
      <c r="U34" s="2"/>
      <c r="V34" s="2"/>
      <c r="W34" s="79"/>
      <c r="X34" s="2"/>
      <c r="Y34" s="159"/>
      <c r="Z34" s="159"/>
      <c r="AA34" s="159"/>
      <c r="AB34" s="159"/>
      <c r="AF34" s="82"/>
      <c r="AG34" s="2"/>
      <c r="AH34" s="2"/>
    </row>
    <row r="35" spans="1:34" ht="15.75" thickBot="1" x14ac:dyDescent="0.3">
      <c r="A35" s="29"/>
      <c r="C35" s="15"/>
      <c r="D35" s="15"/>
      <c r="E35" s="79"/>
      <c r="F35" s="79"/>
      <c r="G35" s="79"/>
      <c r="H35" s="79"/>
      <c r="I35" s="79"/>
      <c r="J35" s="79"/>
      <c r="K35" s="2"/>
      <c r="L35" s="2"/>
      <c r="M35" s="2"/>
      <c r="O35" s="2"/>
      <c r="U35" s="2"/>
      <c r="V35" s="2"/>
      <c r="W35" s="79"/>
      <c r="X35" s="2"/>
      <c r="Y35" s="2"/>
    </row>
    <row r="36" spans="1:34" ht="15.75" thickBot="1" x14ac:dyDescent="0.3">
      <c r="B36" s="32" t="s">
        <v>51</v>
      </c>
      <c r="C36" s="18"/>
      <c r="D36" s="18"/>
      <c r="E36" s="18"/>
      <c r="F36" s="18"/>
      <c r="G36" s="18"/>
      <c r="H36" s="18"/>
      <c r="I36" s="19">
        <f>SUM(I12:I29)</f>
        <v>6380198600</v>
      </c>
      <c r="J36" s="18"/>
      <c r="K36" s="19">
        <f>SUM(K12:K29)</f>
        <v>1269319470</v>
      </c>
      <c r="L36" s="19">
        <f>SUM(L12:L29)</f>
        <v>132522000</v>
      </c>
      <c r="M36" s="19">
        <f>SUM(M12:M29)</f>
        <v>1401841470</v>
      </c>
      <c r="N36" s="18"/>
      <c r="O36" s="18"/>
      <c r="P36" s="18"/>
      <c r="Q36" s="18"/>
      <c r="R36" s="18"/>
      <c r="S36" s="18"/>
      <c r="T36" s="18"/>
      <c r="U36" s="18"/>
      <c r="V36" s="18"/>
      <c r="W36" s="19">
        <f>SUM(W12:W27)</f>
        <v>1235880470</v>
      </c>
      <c r="X36" s="19">
        <f>SUM(X12:X29)</f>
        <v>165961000</v>
      </c>
      <c r="Y36" s="24"/>
    </row>
    <row r="37" spans="1:34" x14ac:dyDescent="0.25">
      <c r="E37" s="9"/>
      <c r="F37" s="9"/>
      <c r="G37" s="9"/>
      <c r="H37" s="9"/>
      <c r="I37" s="9"/>
      <c r="J37" s="9"/>
      <c r="K37" s="9"/>
      <c r="L37" s="9"/>
      <c r="M37" s="9"/>
      <c r="X37" s="2">
        <f>W36+X36-H49</f>
        <v>345722000</v>
      </c>
    </row>
    <row r="38" spans="1:34" x14ac:dyDescent="0.25">
      <c r="E38" s="9" t="s">
        <v>36</v>
      </c>
      <c r="F38" s="9"/>
      <c r="G38" s="9" t="s">
        <v>37</v>
      </c>
      <c r="H38" s="9" t="s">
        <v>38</v>
      </c>
      <c r="I38" s="9" t="s">
        <v>39</v>
      </c>
      <c r="J38" s="9" t="s">
        <v>40</v>
      </c>
      <c r="K38" s="9" t="s">
        <v>41</v>
      </c>
      <c r="L38" s="9"/>
      <c r="M38" s="9"/>
    </row>
    <row r="39" spans="1:34" ht="30" x14ac:dyDescent="0.25">
      <c r="E39" s="10" t="s">
        <v>32</v>
      </c>
      <c r="F39" s="11" t="s">
        <v>46</v>
      </c>
      <c r="G39" s="10" t="s">
        <v>8</v>
      </c>
      <c r="H39" s="11" t="s">
        <v>71</v>
      </c>
      <c r="I39" s="12" t="s">
        <v>42</v>
      </c>
      <c r="J39" s="12" t="s">
        <v>35</v>
      </c>
      <c r="K39" s="13" t="s">
        <v>30</v>
      </c>
      <c r="L39" s="33"/>
      <c r="M39" s="33"/>
    </row>
    <row r="40" spans="1:34" x14ac:dyDescent="0.25">
      <c r="E40" s="5">
        <v>45839</v>
      </c>
      <c r="F40" s="7">
        <f>SUM(I12:I14)</f>
        <v>900000000</v>
      </c>
      <c r="G40" s="7">
        <f>SUM(W12:W14)</f>
        <v>180000000</v>
      </c>
      <c r="H40" s="6"/>
      <c r="I40" s="6"/>
      <c r="J40" s="6"/>
      <c r="K40" s="7">
        <f>F40+G40</f>
        <v>1080000000</v>
      </c>
      <c r="L40" s="2"/>
      <c r="M40" s="2"/>
      <c r="X40" s="2">
        <f>SUM(I26:I29,AG26:AG29)</f>
        <v>1411722000</v>
      </c>
    </row>
    <row r="41" spans="1:34" x14ac:dyDescent="0.25">
      <c r="E41" s="5">
        <v>45870</v>
      </c>
      <c r="F41" s="7">
        <f>SUM(I15:I18)</f>
        <v>1125000000</v>
      </c>
      <c r="G41" s="7">
        <f>SUM(W15:W18)</f>
        <v>225000000</v>
      </c>
      <c r="H41" s="7"/>
      <c r="I41" s="7">
        <f>SUM(I19:I22)</f>
        <v>1606174500</v>
      </c>
      <c r="J41" s="7"/>
      <c r="K41" s="7">
        <f>K40+F41+G41+H41-I41-J41</f>
        <v>823825500</v>
      </c>
      <c r="L41" s="2"/>
      <c r="M41" s="2"/>
    </row>
    <row r="42" spans="1:34" x14ac:dyDescent="0.25">
      <c r="E42" s="5">
        <v>45901</v>
      </c>
      <c r="F42" s="7">
        <v>1426698600</v>
      </c>
      <c r="G42" s="7"/>
      <c r="H42" s="7"/>
      <c r="I42" s="7">
        <f>SUM(I23:I27)</f>
        <v>2250524100</v>
      </c>
      <c r="J42" s="7"/>
      <c r="K42" s="7">
        <f>K41+F42+G42+H42-I42</f>
        <v>0</v>
      </c>
      <c r="L42" s="2"/>
      <c r="M42" s="2"/>
    </row>
    <row r="43" spans="1:34" x14ac:dyDescent="0.25">
      <c r="E43" s="5">
        <v>45931</v>
      </c>
      <c r="F43" s="7"/>
      <c r="G43" s="7"/>
      <c r="H43" s="7"/>
      <c r="I43" s="7">
        <f>I29+I28</f>
        <v>498500000</v>
      </c>
      <c r="J43" s="7"/>
      <c r="K43" s="7">
        <f>K42+F43+G43+H43-I43</f>
        <v>-498500000</v>
      </c>
      <c r="L43" s="2"/>
      <c r="M43" s="2"/>
    </row>
    <row r="44" spans="1:34" x14ac:dyDescent="0.25">
      <c r="E44" s="5">
        <v>45962</v>
      </c>
      <c r="F44" s="7"/>
      <c r="G44" s="7">
        <f>SUM(M19:M25)</f>
        <v>651119470</v>
      </c>
      <c r="H44" s="7"/>
      <c r="I44" s="7">
        <f>-SUM(I19:I25)+I30</f>
        <v>-2914911100</v>
      </c>
      <c r="J44" s="7"/>
      <c r="K44" s="7">
        <f t="shared" ref="K44:K45" si="40">K43+F44+G44+H44-I44</f>
        <v>3067530570</v>
      </c>
      <c r="L44" s="2"/>
      <c r="M44" s="2"/>
    </row>
    <row r="45" spans="1:34" x14ac:dyDescent="0.25">
      <c r="E45" s="5">
        <v>45992</v>
      </c>
      <c r="F45" s="7"/>
      <c r="G45" s="7"/>
      <c r="H45" s="7"/>
      <c r="I45" s="7"/>
      <c r="J45" s="7"/>
      <c r="K45" s="7">
        <f t="shared" si="40"/>
        <v>3067530570</v>
      </c>
      <c r="L45" s="2"/>
      <c r="M45" s="2"/>
      <c r="P45" s="1"/>
    </row>
    <row r="46" spans="1:34" x14ac:dyDescent="0.25">
      <c r="E46" s="4"/>
      <c r="F46" s="8">
        <f>SUM(F40:F45)</f>
        <v>3451698600</v>
      </c>
      <c r="G46" s="8">
        <f>SUM(G40:G45)</f>
        <v>1056119470</v>
      </c>
      <c r="H46" s="8">
        <f t="shared" ref="H46:I46" si="41">SUM(H40:H45)</f>
        <v>0</v>
      </c>
      <c r="I46" s="8">
        <f t="shared" si="41"/>
        <v>1440287500</v>
      </c>
      <c r="J46" s="8"/>
      <c r="K46" s="8">
        <f>F46+G46+H46-I46</f>
        <v>3067530570</v>
      </c>
      <c r="L46" s="24"/>
      <c r="M46" s="24"/>
      <c r="P46" s="2"/>
    </row>
    <row r="47" spans="1:34" x14ac:dyDescent="0.25">
      <c r="C47" s="2"/>
      <c r="D47" s="2"/>
      <c r="E47" s="2"/>
      <c r="F47" s="2"/>
      <c r="G47" s="2"/>
      <c r="H47" s="2"/>
    </row>
    <row r="48" spans="1:34" x14ac:dyDescent="0.25">
      <c r="E48" s="14" t="s">
        <v>47</v>
      </c>
      <c r="F48" s="14"/>
      <c r="G48" s="14"/>
      <c r="H48" s="8">
        <f>F46</f>
        <v>3451698600</v>
      </c>
      <c r="K48" s="2"/>
    </row>
    <row r="49" spans="2:22" x14ac:dyDescent="0.25">
      <c r="E49" s="14" t="s">
        <v>8</v>
      </c>
      <c r="F49" s="14"/>
      <c r="G49" s="14"/>
      <c r="H49" s="8">
        <f>G46</f>
        <v>1056119470</v>
      </c>
    </row>
    <row r="50" spans="2:22" x14ac:dyDescent="0.25">
      <c r="E50" s="14" t="s">
        <v>48</v>
      </c>
      <c r="F50" s="14"/>
      <c r="G50" s="14"/>
      <c r="H50" s="8">
        <f>-I46</f>
        <v>-1440287500</v>
      </c>
      <c r="J50" s="1"/>
      <c r="K50" s="1">
        <f>K46+X40</f>
        <v>4479252570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2" x14ac:dyDescent="0.25">
      <c r="E51" s="14" t="s">
        <v>30</v>
      </c>
      <c r="F51" s="14"/>
      <c r="G51" s="14"/>
      <c r="H51" s="8">
        <f>SUM(H48:H50)</f>
        <v>3067530570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2" x14ac:dyDescent="0.25">
      <c r="U52" s="2"/>
    </row>
    <row r="53" spans="2:22" x14ac:dyDescent="0.25">
      <c r="B53" s="29" t="s">
        <v>73</v>
      </c>
      <c r="C53" s="1">
        <f>G46</f>
        <v>1056119470</v>
      </c>
      <c r="U53" s="24"/>
    </row>
    <row r="54" spans="2:22" x14ac:dyDescent="0.25">
      <c r="B54" s="29" t="s">
        <v>74</v>
      </c>
      <c r="C54" s="1">
        <f>SUM(W19:X27)</f>
        <v>830880470</v>
      </c>
      <c r="E54" s="80"/>
      <c r="H54" s="24"/>
      <c r="I54" s="44"/>
      <c r="U54" s="2"/>
    </row>
    <row r="55" spans="2:22" x14ac:dyDescent="0.25">
      <c r="B55" s="28" t="s">
        <v>72</v>
      </c>
      <c r="C55" s="48">
        <f>SUM(C53:C54)</f>
        <v>1886999940</v>
      </c>
      <c r="U55" s="2"/>
    </row>
    <row r="56" spans="2:22" x14ac:dyDescent="0.25">
      <c r="B56" s="29" t="s">
        <v>75</v>
      </c>
      <c r="C56" s="1">
        <v>-300000000</v>
      </c>
      <c r="U56" s="24"/>
      <c r="V56" s="2"/>
    </row>
    <row r="57" spans="2:22" x14ac:dyDescent="0.25">
      <c r="B57" s="28" t="s">
        <v>76</v>
      </c>
      <c r="C57" s="24">
        <f>C55+C56</f>
        <v>1586999940</v>
      </c>
    </row>
    <row r="59" spans="2:22" x14ac:dyDescent="0.25">
      <c r="B59" s="29" t="s">
        <v>77</v>
      </c>
      <c r="C59" s="2">
        <f>C57-C53</f>
        <v>530880470</v>
      </c>
    </row>
  </sheetData>
  <autoFilter ref="A10:AD27" xr:uid="{20086F87-0614-4439-8DD0-EE280B7B1C8A}">
    <filterColumn colId="13" showButton="0"/>
    <filterColumn colId="14" showButton="0"/>
    <filterColumn colId="15" showButton="0"/>
    <filterColumn colId="16" showButton="0"/>
    <filterColumn colId="17" showButton="0"/>
  </autoFilter>
  <mergeCells count="27">
    <mergeCell ref="M10:M11"/>
    <mergeCell ref="U10:U11"/>
    <mergeCell ref="V10:V11"/>
    <mergeCell ref="W10:W11"/>
    <mergeCell ref="AB10:AB11"/>
    <mergeCell ref="X10:X11"/>
    <mergeCell ref="A10:A11"/>
    <mergeCell ref="B10:B11"/>
    <mergeCell ref="C10:C11"/>
    <mergeCell ref="E10:E11"/>
    <mergeCell ref="G10:G11"/>
    <mergeCell ref="AF10:AF11"/>
    <mergeCell ref="AG10:AG11"/>
    <mergeCell ref="AH10:AH11"/>
    <mergeCell ref="H10:H11"/>
    <mergeCell ref="D10:D11"/>
    <mergeCell ref="F10:F11"/>
    <mergeCell ref="AD10:AD11"/>
    <mergeCell ref="L10:L11"/>
    <mergeCell ref="N10:S10"/>
    <mergeCell ref="I10:I11"/>
    <mergeCell ref="J10:J11"/>
    <mergeCell ref="K10:K11"/>
    <mergeCell ref="AC10:AC11"/>
    <mergeCell ref="Y10:Y11"/>
    <mergeCell ref="Z10:Z11"/>
    <mergeCell ref="AA10:AA11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98E2-52BD-4DFE-A93B-8567434B6608}">
  <sheetPr>
    <tabColor rgb="FF92D050"/>
  </sheetPr>
  <dimension ref="A3:C12"/>
  <sheetViews>
    <sheetView workbookViewId="0">
      <selection activeCell="A31" sqref="A31:XFD42"/>
    </sheetView>
  </sheetViews>
  <sheetFormatPr defaultRowHeight="15" x14ac:dyDescent="0.25"/>
  <cols>
    <col min="1" max="1" width="3.5703125" bestFit="1" customWidth="1"/>
    <col min="2" max="2" width="11.28515625" bestFit="1" customWidth="1"/>
    <col min="3" max="3" width="15.28515625" bestFit="1" customWidth="1"/>
  </cols>
  <sheetData>
    <row r="3" spans="1:3" x14ac:dyDescent="0.25">
      <c r="A3" s="4" t="s">
        <v>0</v>
      </c>
      <c r="B3" s="4" t="s">
        <v>81</v>
      </c>
      <c r="C3" s="4" t="s">
        <v>155</v>
      </c>
    </row>
    <row r="4" spans="1:3" x14ac:dyDescent="0.25">
      <c r="A4" s="4">
        <v>1</v>
      </c>
      <c r="B4" s="27">
        <v>46007</v>
      </c>
      <c r="C4" s="6">
        <v>1300000000</v>
      </c>
    </row>
    <row r="5" spans="1:3" x14ac:dyDescent="0.25">
      <c r="A5" s="4">
        <f>A4+1</f>
        <v>2</v>
      </c>
      <c r="B5" s="27">
        <v>46014</v>
      </c>
      <c r="C5" s="6">
        <v>250000000</v>
      </c>
    </row>
    <row r="6" spans="1:3" x14ac:dyDescent="0.25">
      <c r="A6" s="4">
        <f t="shared" ref="A6:A11" si="0">A5+1</f>
        <v>3</v>
      </c>
      <c r="B6" s="27">
        <v>46015</v>
      </c>
      <c r="C6" s="6">
        <v>250000000</v>
      </c>
    </row>
    <row r="7" spans="1:3" x14ac:dyDescent="0.25">
      <c r="A7" s="4">
        <f t="shared" si="0"/>
        <v>4</v>
      </c>
      <c r="B7" s="27">
        <v>46016</v>
      </c>
      <c r="C7" s="6">
        <v>250000000</v>
      </c>
    </row>
    <row r="8" spans="1:3" x14ac:dyDescent="0.25">
      <c r="A8" s="4">
        <f t="shared" si="0"/>
        <v>5</v>
      </c>
      <c r="B8" s="27">
        <v>46017</v>
      </c>
      <c r="C8" s="6">
        <v>250000000</v>
      </c>
    </row>
    <row r="9" spans="1:3" x14ac:dyDescent="0.25">
      <c r="A9" s="4">
        <f t="shared" si="0"/>
        <v>6</v>
      </c>
      <c r="B9" s="27">
        <v>46018</v>
      </c>
      <c r="C9" s="6">
        <v>250000000</v>
      </c>
    </row>
    <row r="10" spans="1:3" x14ac:dyDescent="0.25">
      <c r="A10" s="4">
        <f t="shared" si="0"/>
        <v>7</v>
      </c>
      <c r="B10" s="27">
        <v>46019</v>
      </c>
      <c r="C10" s="6">
        <v>250000000</v>
      </c>
    </row>
    <row r="11" spans="1:3" x14ac:dyDescent="0.25">
      <c r="A11" s="4">
        <f t="shared" si="0"/>
        <v>8</v>
      </c>
      <c r="B11" s="27">
        <v>46020</v>
      </c>
      <c r="C11" s="6">
        <v>150000000</v>
      </c>
    </row>
    <row r="12" spans="1:3" x14ac:dyDescent="0.25">
      <c r="A12" s="4"/>
      <c r="B12" s="14" t="s">
        <v>5</v>
      </c>
      <c r="C12" s="8">
        <f>SUM(C4:C11)</f>
        <v>2950000000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E7EF-9941-4359-8B31-68ED2F5B960C}">
  <sheetPr>
    <tabColor rgb="FFFF0000"/>
    <pageSetUpPr fitToPage="1"/>
  </sheetPr>
  <dimension ref="A2:J34"/>
  <sheetViews>
    <sheetView topLeftCell="A10" zoomScale="70" zoomScaleNormal="70" workbookViewId="0">
      <selection activeCell="A31" sqref="A31:XFD42"/>
    </sheetView>
  </sheetViews>
  <sheetFormatPr defaultRowHeight="15" x14ac:dyDescent="0.25"/>
  <cols>
    <col min="2" max="2" width="19.42578125" customWidth="1"/>
    <col min="3" max="3" width="66.42578125" customWidth="1"/>
    <col min="4" max="4" width="6.5703125" customWidth="1"/>
    <col min="5" max="5" width="24.42578125" customWidth="1"/>
    <col min="6" max="6" width="22.7109375" bestFit="1" customWidth="1"/>
    <col min="7" max="7" width="20.42578125" bestFit="1" customWidth="1"/>
    <col min="8" max="8" width="11.5703125" customWidth="1"/>
    <col min="9" max="9" width="21" customWidth="1"/>
    <col min="10" max="10" width="17.7109375" bestFit="1" customWidth="1"/>
  </cols>
  <sheetData>
    <row r="2" spans="1:9" ht="21" x14ac:dyDescent="0.35">
      <c r="A2" s="357" t="s">
        <v>89</v>
      </c>
      <c r="B2" s="357"/>
      <c r="C2" s="357"/>
      <c r="D2" s="357"/>
      <c r="E2" s="357"/>
      <c r="F2" s="357"/>
      <c r="G2" s="357"/>
      <c r="H2" s="357"/>
      <c r="I2" s="357"/>
    </row>
    <row r="3" spans="1:9" ht="15.75" thickBot="1" x14ac:dyDescent="0.3"/>
    <row r="4" spans="1:9" ht="19.5" thickBot="1" x14ac:dyDescent="0.35">
      <c r="A4" s="84" t="s">
        <v>0</v>
      </c>
      <c r="B4" s="85" t="s">
        <v>90</v>
      </c>
      <c r="C4" s="85" t="s">
        <v>91</v>
      </c>
      <c r="D4" s="85" t="s">
        <v>4</v>
      </c>
      <c r="E4" s="85" t="s">
        <v>92</v>
      </c>
      <c r="F4" s="85" t="s">
        <v>93</v>
      </c>
      <c r="G4" s="85" t="s">
        <v>94</v>
      </c>
      <c r="H4" s="85" t="s">
        <v>95</v>
      </c>
      <c r="I4" s="86" t="s">
        <v>96</v>
      </c>
    </row>
    <row r="5" spans="1:9" ht="18.75" x14ac:dyDescent="0.3">
      <c r="A5" s="87">
        <v>1</v>
      </c>
      <c r="B5" s="88">
        <v>5200954145</v>
      </c>
      <c r="C5" s="89" t="s">
        <v>97</v>
      </c>
      <c r="D5" s="89">
        <v>2</v>
      </c>
      <c r="E5" s="90">
        <v>450000000</v>
      </c>
      <c r="F5" s="90">
        <f>E5/2</f>
        <v>225000000</v>
      </c>
      <c r="G5" s="90">
        <f>F5*0.2</f>
        <v>45000000</v>
      </c>
      <c r="H5" s="89">
        <v>20</v>
      </c>
      <c r="I5" s="91"/>
    </row>
    <row r="6" spans="1:9" ht="18.75" x14ac:dyDescent="0.3">
      <c r="A6" s="92">
        <v>2</v>
      </c>
      <c r="B6" s="93">
        <v>5200954149</v>
      </c>
      <c r="C6" s="94" t="s">
        <v>97</v>
      </c>
      <c r="D6" s="94">
        <v>3</v>
      </c>
      <c r="E6" s="95">
        <v>675000000</v>
      </c>
      <c r="F6" s="95">
        <f t="shared" ref="F6:F18" si="0">E6/2</f>
        <v>337500000</v>
      </c>
      <c r="G6" s="95">
        <f t="shared" ref="G6:G18" si="1">F6*0.2</f>
        <v>67500000</v>
      </c>
      <c r="H6" s="94">
        <v>20</v>
      </c>
      <c r="I6" s="96"/>
    </row>
    <row r="7" spans="1:9" ht="18.75" x14ac:dyDescent="0.3">
      <c r="A7" s="92">
        <v>3</v>
      </c>
      <c r="B7" s="93">
        <v>5200954160</v>
      </c>
      <c r="C7" s="94" t="s">
        <v>97</v>
      </c>
      <c r="D7" s="94">
        <v>3</v>
      </c>
      <c r="E7" s="95">
        <v>675000000</v>
      </c>
      <c r="F7" s="95">
        <f t="shared" si="0"/>
        <v>337500000</v>
      </c>
      <c r="G7" s="95">
        <f t="shared" si="1"/>
        <v>67500000</v>
      </c>
      <c r="H7" s="94">
        <v>20</v>
      </c>
      <c r="I7" s="96"/>
    </row>
    <row r="8" spans="1:9" ht="18.75" x14ac:dyDescent="0.3">
      <c r="A8" s="92">
        <v>4</v>
      </c>
      <c r="B8" s="93">
        <v>5200954165</v>
      </c>
      <c r="C8" s="94" t="s">
        <v>97</v>
      </c>
      <c r="D8" s="94">
        <v>3</v>
      </c>
      <c r="E8" s="95">
        <v>675000000</v>
      </c>
      <c r="F8" s="95">
        <f t="shared" si="0"/>
        <v>337500000</v>
      </c>
      <c r="G8" s="95">
        <f t="shared" si="1"/>
        <v>67500000</v>
      </c>
      <c r="H8" s="94">
        <v>20</v>
      </c>
      <c r="I8" s="96"/>
    </row>
    <row r="9" spans="1:9" ht="18.75" x14ac:dyDescent="0.3">
      <c r="A9" s="92">
        <v>5</v>
      </c>
      <c r="B9" s="93">
        <v>5200954167</v>
      </c>
      <c r="C9" s="94" t="s">
        <v>97</v>
      </c>
      <c r="D9" s="94">
        <v>3</v>
      </c>
      <c r="E9" s="95">
        <v>675000000</v>
      </c>
      <c r="F9" s="95">
        <f t="shared" si="0"/>
        <v>337500000</v>
      </c>
      <c r="G9" s="95">
        <f t="shared" si="1"/>
        <v>67500000</v>
      </c>
      <c r="H9" s="94">
        <v>20</v>
      </c>
      <c r="I9" s="96"/>
    </row>
    <row r="10" spans="1:9" ht="18.75" x14ac:dyDescent="0.3">
      <c r="A10" s="92">
        <v>6</v>
      </c>
      <c r="B10" s="93">
        <v>5200954169</v>
      </c>
      <c r="C10" s="94" t="s">
        <v>97</v>
      </c>
      <c r="D10" s="94">
        <v>2</v>
      </c>
      <c r="E10" s="95">
        <v>450000000</v>
      </c>
      <c r="F10" s="95">
        <f t="shared" si="0"/>
        <v>225000000</v>
      </c>
      <c r="G10" s="95">
        <f t="shared" si="1"/>
        <v>45000000</v>
      </c>
      <c r="H10" s="94">
        <v>20</v>
      </c>
      <c r="I10" s="96"/>
    </row>
    <row r="11" spans="1:9" ht="18.75" x14ac:dyDescent="0.3">
      <c r="A11" s="92">
        <v>7</v>
      </c>
      <c r="B11" s="93">
        <v>5200954168</v>
      </c>
      <c r="C11" s="94" t="s">
        <v>97</v>
      </c>
      <c r="D11" s="94">
        <v>2</v>
      </c>
      <c r="E11" s="95">
        <v>450000000</v>
      </c>
      <c r="F11" s="95">
        <f t="shared" si="0"/>
        <v>225000000</v>
      </c>
      <c r="G11" s="95">
        <f t="shared" si="1"/>
        <v>45000000</v>
      </c>
      <c r="H11" s="94">
        <v>20</v>
      </c>
      <c r="I11" s="96"/>
    </row>
    <row r="12" spans="1:9" ht="18.75" x14ac:dyDescent="0.3">
      <c r="A12" s="92">
        <v>8</v>
      </c>
      <c r="B12" s="93">
        <v>5200776987</v>
      </c>
      <c r="C12" s="94" t="s">
        <v>97</v>
      </c>
      <c r="D12" s="94">
        <v>2</v>
      </c>
      <c r="E12" s="95">
        <v>450000000</v>
      </c>
      <c r="F12" s="95">
        <f t="shared" si="0"/>
        <v>225000000</v>
      </c>
      <c r="G12" s="95">
        <f t="shared" si="1"/>
        <v>45000000</v>
      </c>
      <c r="H12" s="94">
        <v>20</v>
      </c>
      <c r="I12" s="96"/>
    </row>
    <row r="13" spans="1:9" ht="18.75" x14ac:dyDescent="0.3">
      <c r="A13" s="92">
        <v>9</v>
      </c>
      <c r="B13" s="93">
        <v>5200777132</v>
      </c>
      <c r="C13" s="94" t="s">
        <v>98</v>
      </c>
      <c r="D13" s="94">
        <v>10</v>
      </c>
      <c r="E13" s="95">
        <v>809150000</v>
      </c>
      <c r="F13" s="95">
        <f t="shared" si="0"/>
        <v>404575000</v>
      </c>
      <c r="G13" s="95">
        <f>F13/100*13</f>
        <v>52594750</v>
      </c>
      <c r="H13" s="94">
        <v>13</v>
      </c>
      <c r="I13" s="96"/>
    </row>
    <row r="14" spans="1:9" ht="18.75" x14ac:dyDescent="0.3">
      <c r="A14" s="92">
        <v>10</v>
      </c>
      <c r="B14" s="93">
        <v>5200972695</v>
      </c>
      <c r="C14" s="94" t="s">
        <v>99</v>
      </c>
      <c r="D14" s="94">
        <v>8</v>
      </c>
      <c r="E14" s="95">
        <v>804000000</v>
      </c>
      <c r="F14" s="95">
        <f t="shared" si="0"/>
        <v>402000000</v>
      </c>
      <c r="G14" s="95">
        <f t="shared" si="1"/>
        <v>80400000</v>
      </c>
      <c r="H14" s="94">
        <v>20</v>
      </c>
      <c r="I14" s="96"/>
    </row>
    <row r="15" spans="1:9" ht="18.75" x14ac:dyDescent="0.3">
      <c r="A15" s="92">
        <v>11</v>
      </c>
      <c r="B15" s="93">
        <v>5200777558</v>
      </c>
      <c r="C15" s="94" t="s">
        <v>100</v>
      </c>
      <c r="D15" s="94">
        <v>1</v>
      </c>
      <c r="E15" s="95">
        <v>685000000</v>
      </c>
      <c r="F15" s="95">
        <f t="shared" si="0"/>
        <v>342500000</v>
      </c>
      <c r="G15" s="95">
        <f t="shared" si="1"/>
        <v>68500000</v>
      </c>
      <c r="H15" s="94">
        <v>20</v>
      </c>
      <c r="I15" s="96"/>
    </row>
    <row r="16" spans="1:9" ht="18.75" x14ac:dyDescent="0.3">
      <c r="A16" s="92">
        <v>12</v>
      </c>
      <c r="B16" s="93">
        <v>5200777559</v>
      </c>
      <c r="C16" s="94" t="s">
        <v>97</v>
      </c>
      <c r="D16" s="94">
        <v>2</v>
      </c>
      <c r="E16" s="95">
        <v>450000000</v>
      </c>
      <c r="F16" s="95">
        <f t="shared" si="0"/>
        <v>225000000</v>
      </c>
      <c r="G16" s="95">
        <f t="shared" si="1"/>
        <v>45000000</v>
      </c>
      <c r="H16" s="94">
        <v>20</v>
      </c>
      <c r="I16" s="96"/>
    </row>
    <row r="17" spans="1:10" ht="18.75" x14ac:dyDescent="0.3">
      <c r="A17" s="92">
        <v>13</v>
      </c>
      <c r="B17" s="93">
        <v>5200777758</v>
      </c>
      <c r="C17" s="94" t="s">
        <v>101</v>
      </c>
      <c r="D17" s="94">
        <v>1</v>
      </c>
      <c r="E17" s="95">
        <v>2231048200</v>
      </c>
      <c r="F17" s="95">
        <f t="shared" si="0"/>
        <v>1115524100</v>
      </c>
      <c r="G17" s="95">
        <f t="shared" si="1"/>
        <v>223104820</v>
      </c>
      <c r="H17" s="94">
        <v>20</v>
      </c>
      <c r="I17" s="96"/>
    </row>
    <row r="18" spans="1:10" ht="19.5" thickBot="1" x14ac:dyDescent="0.35">
      <c r="A18" s="144">
        <v>14</v>
      </c>
      <c r="B18" s="93">
        <v>5200777098</v>
      </c>
      <c r="C18" s="145" t="s">
        <v>102</v>
      </c>
      <c r="D18" s="145">
        <v>1</v>
      </c>
      <c r="E18" s="146">
        <v>572487000</v>
      </c>
      <c r="F18" s="146">
        <f t="shared" si="0"/>
        <v>286243500</v>
      </c>
      <c r="G18" s="146">
        <f t="shared" si="1"/>
        <v>57248700</v>
      </c>
      <c r="H18" s="147">
        <v>20</v>
      </c>
      <c r="I18" s="148"/>
    </row>
    <row r="19" spans="1:10" ht="19.5" thickBot="1" x14ac:dyDescent="0.35">
      <c r="A19" s="9"/>
      <c r="B19" s="9"/>
      <c r="C19" s="358" t="s">
        <v>103</v>
      </c>
      <c r="D19" s="359"/>
      <c r="E19" s="101">
        <f>SUM(E5:E18)</f>
        <v>10051685200</v>
      </c>
      <c r="F19" s="102">
        <f>SUM(F5:F18)</f>
        <v>5025842600</v>
      </c>
      <c r="G19" s="102">
        <f>SUM(G5:G18)</f>
        <v>976848270</v>
      </c>
      <c r="H19" s="103"/>
      <c r="I19" s="104"/>
    </row>
    <row r="20" spans="1:10" ht="18.75" x14ac:dyDescent="0.3">
      <c r="A20" s="9"/>
      <c r="B20" s="9"/>
      <c r="E20" s="105"/>
      <c r="F20" s="105"/>
      <c r="G20" s="105"/>
      <c r="H20" s="9"/>
      <c r="I20" s="106"/>
    </row>
    <row r="21" spans="1:10" ht="15.75" thickBot="1" x14ac:dyDescent="0.3">
      <c r="A21" s="9"/>
      <c r="B21" s="9"/>
      <c r="H21" s="9"/>
    </row>
    <row r="22" spans="1:10" ht="19.5" thickBot="1" x14ac:dyDescent="0.35">
      <c r="A22" s="84" t="s">
        <v>0</v>
      </c>
      <c r="B22" s="85" t="s">
        <v>90</v>
      </c>
      <c r="C22" s="85" t="s">
        <v>91</v>
      </c>
      <c r="D22" s="85" t="s">
        <v>4</v>
      </c>
      <c r="E22" s="85" t="s">
        <v>92</v>
      </c>
      <c r="F22" s="85" t="s">
        <v>93</v>
      </c>
      <c r="G22" s="85" t="s">
        <v>94</v>
      </c>
      <c r="H22" s="85" t="s">
        <v>95</v>
      </c>
      <c r="I22" s="86" t="s">
        <v>96</v>
      </c>
    </row>
    <row r="23" spans="1:10" ht="18.75" x14ac:dyDescent="0.3">
      <c r="A23" s="140">
        <v>1</v>
      </c>
      <c r="B23" s="107">
        <v>5200777098</v>
      </c>
      <c r="C23" s="141" t="s">
        <v>102</v>
      </c>
      <c r="D23" s="141">
        <v>1</v>
      </c>
      <c r="E23" s="142">
        <v>576712000</v>
      </c>
      <c r="F23" s="142">
        <f t="shared" ref="F23:F26" si="2">E23/2</f>
        <v>288356000</v>
      </c>
      <c r="G23" s="142">
        <f t="shared" ref="G23:G26" si="3">F23*0.2</f>
        <v>57671200</v>
      </c>
      <c r="H23" s="141">
        <v>20</v>
      </c>
      <c r="I23" s="143"/>
      <c r="J23" s="117">
        <f>G23+I23</f>
        <v>57671200</v>
      </c>
    </row>
    <row r="24" spans="1:10" ht="18.75" x14ac:dyDescent="0.3">
      <c r="A24" s="92">
        <v>2</v>
      </c>
      <c r="B24" s="107">
        <v>5200778328</v>
      </c>
      <c r="C24" s="94" t="s">
        <v>104</v>
      </c>
      <c r="D24" s="94">
        <v>1</v>
      </c>
      <c r="E24" s="95">
        <v>685000000</v>
      </c>
      <c r="F24" s="95">
        <f t="shared" si="2"/>
        <v>342500000</v>
      </c>
      <c r="G24" s="95">
        <f t="shared" si="3"/>
        <v>68500000</v>
      </c>
      <c r="H24" s="94">
        <v>20</v>
      </c>
      <c r="I24" s="108">
        <v>66261000</v>
      </c>
      <c r="J24" s="117">
        <f t="shared" ref="J24:J26" si="4">G24+I24</f>
        <v>134761000</v>
      </c>
    </row>
    <row r="25" spans="1:10" ht="18.75" x14ac:dyDescent="0.3">
      <c r="A25" s="92">
        <v>3</v>
      </c>
      <c r="B25" s="107">
        <v>5200778319</v>
      </c>
      <c r="C25" s="94" t="s">
        <v>105</v>
      </c>
      <c r="D25" s="94">
        <v>2</v>
      </c>
      <c r="E25" s="95">
        <v>450000000</v>
      </c>
      <c r="F25" s="95">
        <f t="shared" si="2"/>
        <v>225000000</v>
      </c>
      <c r="G25" s="95">
        <f t="shared" si="3"/>
        <v>45000000</v>
      </c>
      <c r="H25" s="94">
        <v>20</v>
      </c>
      <c r="I25" s="96"/>
      <c r="J25" s="117">
        <f t="shared" si="4"/>
        <v>45000000</v>
      </c>
    </row>
    <row r="26" spans="1:10" ht="19.5" thickBot="1" x14ac:dyDescent="0.35">
      <c r="A26" s="97">
        <v>4</v>
      </c>
      <c r="B26" s="109">
        <v>5200779815</v>
      </c>
      <c r="C26" s="98" t="s">
        <v>106</v>
      </c>
      <c r="D26" s="98">
        <v>1</v>
      </c>
      <c r="E26" s="99">
        <v>685000000</v>
      </c>
      <c r="F26" s="99">
        <f t="shared" si="2"/>
        <v>342500000</v>
      </c>
      <c r="G26" s="99">
        <f t="shared" si="3"/>
        <v>68500000</v>
      </c>
      <c r="H26" s="100">
        <v>20</v>
      </c>
      <c r="I26" s="110">
        <v>66261000</v>
      </c>
      <c r="J26" s="117">
        <f t="shared" si="4"/>
        <v>134761000</v>
      </c>
    </row>
    <row r="27" spans="1:10" ht="19.5" customHeight="1" thickBot="1" x14ac:dyDescent="0.3">
      <c r="B27" s="9"/>
      <c r="C27" s="360" t="s">
        <v>103</v>
      </c>
      <c r="D27" s="361"/>
      <c r="E27" s="101">
        <f>SUM(E23:E26)</f>
        <v>2396712000</v>
      </c>
      <c r="F27" s="111">
        <f>SUM(F23:F26)</f>
        <v>1198356000</v>
      </c>
      <c r="G27" s="111">
        <f>SUM(G23:G26)</f>
        <v>239671200</v>
      </c>
      <c r="H27" s="112"/>
      <c r="I27" s="113"/>
    </row>
    <row r="28" spans="1:10" ht="18.75" x14ac:dyDescent="0.3">
      <c r="B28" s="9"/>
      <c r="F28" s="106"/>
      <c r="G28" s="106"/>
      <c r="H28" s="114"/>
      <c r="I28" s="106"/>
    </row>
    <row r="29" spans="1:10" ht="19.5" thickBot="1" x14ac:dyDescent="0.35">
      <c r="B29" s="9"/>
      <c r="F29" s="106"/>
      <c r="G29" s="106"/>
      <c r="H29" s="114"/>
      <c r="I29" s="106"/>
    </row>
    <row r="30" spans="1:10" ht="18.75" x14ac:dyDescent="0.3">
      <c r="B30" s="115"/>
      <c r="C30" s="116" t="s">
        <v>107</v>
      </c>
      <c r="G30" s="117"/>
      <c r="H30" s="9"/>
    </row>
    <row r="31" spans="1:10" ht="19.5" thickBot="1" x14ac:dyDescent="0.35">
      <c r="B31" s="118"/>
      <c r="C31" s="119" t="s">
        <v>108</v>
      </c>
      <c r="G31" s="117">
        <f>G19+G27+I26+I24</f>
        <v>1349041470</v>
      </c>
      <c r="I31" s="117"/>
    </row>
    <row r="32" spans="1:10" x14ac:dyDescent="0.25">
      <c r="I32" s="117"/>
    </row>
    <row r="34" spans="5:5" x14ac:dyDescent="0.25">
      <c r="E34" s="117"/>
    </row>
  </sheetData>
  <mergeCells count="3">
    <mergeCell ref="A2:I2"/>
    <mergeCell ref="C19:D19"/>
    <mergeCell ref="C27:D27"/>
  </mergeCells>
  <pageMargins left="0.70866141732283472" right="0.70866141732283472" top="0.74803149606299213" bottom="0.74803149606299213" header="0.31496062992125984" footer="0.31496062992125984"/>
  <pageSetup paperSize="9" scale="64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F5B94-ECE6-486F-BAFE-0562758C776B}">
  <sheetPr>
    <tabColor rgb="FFFFC000"/>
  </sheetPr>
  <dimension ref="B3:L40"/>
  <sheetViews>
    <sheetView topLeftCell="B22" workbookViewId="0">
      <selection activeCell="A31" sqref="A31:XFD42"/>
    </sheetView>
  </sheetViews>
  <sheetFormatPr defaultRowHeight="15" x14ac:dyDescent="0.25"/>
  <cols>
    <col min="1" max="1" width="0" hidden="1" customWidth="1"/>
    <col min="2" max="2" width="11" bestFit="1" customWidth="1"/>
    <col min="3" max="3" width="6.7109375" bestFit="1" customWidth="1"/>
    <col min="4" max="4" width="14.28515625" style="1" bestFit="1" customWidth="1"/>
    <col min="5" max="5" width="12.5703125" style="1" bestFit="1" customWidth="1"/>
    <col min="9" max="9" width="15.42578125" bestFit="1" customWidth="1"/>
    <col min="10" max="10" width="16.28515625" style="1" bestFit="1" customWidth="1"/>
    <col min="11" max="11" width="11" style="1" bestFit="1" customWidth="1"/>
    <col min="12" max="12" width="12.5703125" style="1" bestFit="1" customWidth="1"/>
    <col min="13" max="13" width="13.5703125" bestFit="1" customWidth="1"/>
    <col min="14" max="14" width="14.42578125" bestFit="1" customWidth="1"/>
    <col min="15" max="15" width="15.42578125" bestFit="1" customWidth="1"/>
    <col min="16" max="16" width="19.42578125" bestFit="1" customWidth="1"/>
    <col min="17" max="17" width="20.42578125" bestFit="1" customWidth="1"/>
  </cols>
  <sheetData>
    <row r="3" spans="2:12" x14ac:dyDescent="0.25">
      <c r="B3" t="s">
        <v>116</v>
      </c>
      <c r="C3" t="s">
        <v>119</v>
      </c>
      <c r="D3" s="1" t="s">
        <v>117</v>
      </c>
      <c r="E3" s="1" t="s">
        <v>118</v>
      </c>
      <c r="I3" s="160" t="s">
        <v>124</v>
      </c>
      <c r="J3" s="160" t="s">
        <v>123</v>
      </c>
      <c r="K3"/>
      <c r="L3" s="162"/>
    </row>
    <row r="4" spans="2:12" x14ac:dyDescent="0.25">
      <c r="B4" s="31">
        <v>5200954145</v>
      </c>
      <c r="C4" t="s">
        <v>129</v>
      </c>
      <c r="D4" s="1">
        <v>225000000</v>
      </c>
      <c r="E4" s="1">
        <v>45000000</v>
      </c>
      <c r="I4" s="160" t="s">
        <v>121</v>
      </c>
      <c r="J4" t="s">
        <v>120</v>
      </c>
      <c r="K4" t="s">
        <v>130</v>
      </c>
      <c r="L4" s="162" t="s">
        <v>110</v>
      </c>
    </row>
    <row r="5" spans="2:12" x14ac:dyDescent="0.25">
      <c r="B5" s="31">
        <v>5200954149</v>
      </c>
      <c r="C5" t="s">
        <v>129</v>
      </c>
      <c r="D5" s="1">
        <v>337500000</v>
      </c>
      <c r="E5" s="1">
        <v>67500000</v>
      </c>
      <c r="I5" s="161">
        <v>5200776987</v>
      </c>
      <c r="J5">
        <v>45000000</v>
      </c>
      <c r="K5">
        <v>45000000</v>
      </c>
      <c r="L5" s="1">
        <f>J5-K5</f>
        <v>0</v>
      </c>
    </row>
    <row r="6" spans="2:12" x14ac:dyDescent="0.25">
      <c r="B6" s="31">
        <v>5200954160</v>
      </c>
      <c r="C6" t="s">
        <v>129</v>
      </c>
      <c r="D6" s="1">
        <v>337500000</v>
      </c>
      <c r="E6" s="1">
        <v>67500000</v>
      </c>
      <c r="I6" s="161">
        <v>5200777098</v>
      </c>
      <c r="J6">
        <v>114919900</v>
      </c>
      <c r="K6">
        <v>114919900</v>
      </c>
      <c r="L6" s="1">
        <f t="shared" ref="L6:L24" si="0">J6-K6</f>
        <v>0</v>
      </c>
    </row>
    <row r="7" spans="2:12" x14ac:dyDescent="0.25">
      <c r="B7" s="31">
        <v>5200954165</v>
      </c>
      <c r="C7" t="s">
        <v>129</v>
      </c>
      <c r="D7" s="1">
        <v>337500000</v>
      </c>
      <c r="E7" s="1">
        <v>67500000</v>
      </c>
      <c r="I7" s="161">
        <v>5200777132</v>
      </c>
      <c r="J7">
        <v>52594750</v>
      </c>
      <c r="K7">
        <v>52594750</v>
      </c>
      <c r="L7" s="1">
        <f t="shared" si="0"/>
        <v>0</v>
      </c>
    </row>
    <row r="8" spans="2:12" x14ac:dyDescent="0.25">
      <c r="B8" s="31">
        <v>5200954167</v>
      </c>
      <c r="C8" t="s">
        <v>129</v>
      </c>
      <c r="D8" s="1">
        <v>337500000</v>
      </c>
      <c r="E8" s="1">
        <v>67500000</v>
      </c>
      <c r="I8" s="161">
        <v>5200777558</v>
      </c>
      <c r="J8">
        <v>68500000</v>
      </c>
      <c r="K8">
        <v>68500000</v>
      </c>
      <c r="L8" s="1">
        <f t="shared" si="0"/>
        <v>0</v>
      </c>
    </row>
    <row r="9" spans="2:12" x14ac:dyDescent="0.25">
      <c r="B9" s="31">
        <v>5200954168</v>
      </c>
      <c r="C9" t="s">
        <v>129</v>
      </c>
      <c r="D9" s="1">
        <v>225000000</v>
      </c>
      <c r="E9" s="1">
        <v>45000000</v>
      </c>
      <c r="I9" s="161">
        <v>5200777559</v>
      </c>
      <c r="J9">
        <v>45000000</v>
      </c>
      <c r="K9">
        <v>45000000</v>
      </c>
      <c r="L9" s="1">
        <f t="shared" si="0"/>
        <v>0</v>
      </c>
    </row>
    <row r="10" spans="2:12" x14ac:dyDescent="0.25">
      <c r="B10" s="31">
        <v>5200954169</v>
      </c>
      <c r="C10" t="s">
        <v>129</v>
      </c>
      <c r="D10" s="1">
        <v>225000000</v>
      </c>
      <c r="E10" s="1">
        <v>45000000</v>
      </c>
      <c r="I10" s="161">
        <v>5200777758</v>
      </c>
      <c r="J10">
        <v>223104820</v>
      </c>
      <c r="K10">
        <v>223104820</v>
      </c>
      <c r="L10" s="1">
        <f t="shared" si="0"/>
        <v>0</v>
      </c>
    </row>
    <row r="11" spans="2:12" x14ac:dyDescent="0.25">
      <c r="B11" s="31">
        <v>5200777098</v>
      </c>
      <c r="C11" t="s">
        <v>129</v>
      </c>
      <c r="D11" s="1">
        <v>574599500</v>
      </c>
      <c r="E11" s="1">
        <v>114919900</v>
      </c>
      <c r="I11" s="161">
        <v>5200778319</v>
      </c>
      <c r="J11">
        <v>45000000</v>
      </c>
      <c r="K11">
        <v>45000000</v>
      </c>
      <c r="L11" s="1">
        <f t="shared" si="0"/>
        <v>0</v>
      </c>
    </row>
    <row r="12" spans="2:12" x14ac:dyDescent="0.25">
      <c r="B12" s="31">
        <v>5200776987</v>
      </c>
      <c r="C12" t="s">
        <v>129</v>
      </c>
      <c r="D12" s="1">
        <v>225000000</v>
      </c>
      <c r="E12" s="1">
        <v>45000000</v>
      </c>
      <c r="I12" s="161">
        <v>5200778328</v>
      </c>
      <c r="J12">
        <v>134761000</v>
      </c>
      <c r="K12">
        <v>134761000</v>
      </c>
      <c r="L12" s="1">
        <f t="shared" si="0"/>
        <v>0</v>
      </c>
    </row>
    <row r="13" spans="2:12" x14ac:dyDescent="0.25">
      <c r="B13" s="31">
        <v>5200777132</v>
      </c>
      <c r="C13" t="s">
        <v>129</v>
      </c>
      <c r="D13" s="1">
        <v>404575000</v>
      </c>
      <c r="E13" s="1">
        <v>52594750</v>
      </c>
      <c r="I13" s="161">
        <v>5200779579</v>
      </c>
      <c r="J13"/>
      <c r="K13">
        <v>31200000</v>
      </c>
      <c r="L13" s="1">
        <f t="shared" si="0"/>
        <v>-31200000</v>
      </c>
    </row>
    <row r="14" spans="2:12" x14ac:dyDescent="0.25">
      <c r="B14" s="31">
        <v>5200972695</v>
      </c>
      <c r="C14" t="s">
        <v>129</v>
      </c>
      <c r="D14" s="1">
        <v>402000000</v>
      </c>
      <c r="E14" s="1">
        <v>102000000</v>
      </c>
      <c r="I14" s="161">
        <v>5200779815</v>
      </c>
      <c r="J14">
        <v>134761000</v>
      </c>
      <c r="K14">
        <v>134761000</v>
      </c>
      <c r="L14" s="1">
        <f t="shared" si="0"/>
        <v>0</v>
      </c>
    </row>
    <row r="15" spans="2:12" x14ac:dyDescent="0.25">
      <c r="B15" s="31">
        <v>5200777558</v>
      </c>
      <c r="C15" t="s">
        <v>129</v>
      </c>
      <c r="D15" s="1">
        <v>342500000</v>
      </c>
      <c r="E15" s="1">
        <v>68500000</v>
      </c>
      <c r="I15" s="161">
        <v>5200954145</v>
      </c>
      <c r="J15">
        <v>45000000</v>
      </c>
      <c r="K15">
        <v>45000000</v>
      </c>
      <c r="L15" s="1">
        <f t="shared" si="0"/>
        <v>0</v>
      </c>
    </row>
    <row r="16" spans="2:12" x14ac:dyDescent="0.25">
      <c r="B16" s="31">
        <v>5200777559</v>
      </c>
      <c r="C16" t="s">
        <v>129</v>
      </c>
      <c r="D16" s="1">
        <v>225000000</v>
      </c>
      <c r="E16" s="1">
        <v>45000000</v>
      </c>
      <c r="I16" s="161">
        <v>5200954149</v>
      </c>
      <c r="J16">
        <v>67500000</v>
      </c>
      <c r="K16">
        <v>67500000</v>
      </c>
      <c r="L16" s="1">
        <f t="shared" si="0"/>
        <v>0</v>
      </c>
    </row>
    <row r="17" spans="2:12" x14ac:dyDescent="0.25">
      <c r="B17" s="31">
        <v>5200777758</v>
      </c>
      <c r="C17" t="s">
        <v>129</v>
      </c>
      <c r="D17" s="1">
        <v>1115524100</v>
      </c>
      <c r="E17" s="1">
        <v>223104820</v>
      </c>
      <c r="I17" s="161">
        <v>5200954160</v>
      </c>
      <c r="J17">
        <v>67500000</v>
      </c>
      <c r="K17">
        <v>67500000</v>
      </c>
      <c r="L17" s="1">
        <f t="shared" si="0"/>
        <v>0</v>
      </c>
    </row>
    <row r="18" spans="2:12" x14ac:dyDescent="0.25">
      <c r="B18" s="31">
        <v>5200778319</v>
      </c>
      <c r="C18" t="s">
        <v>129</v>
      </c>
      <c r="D18" s="1">
        <v>225000000</v>
      </c>
      <c r="E18" s="1">
        <v>45000000</v>
      </c>
      <c r="I18" s="161">
        <v>5200954165</v>
      </c>
      <c r="J18">
        <v>67500000</v>
      </c>
      <c r="K18">
        <v>67500000</v>
      </c>
      <c r="L18" s="1">
        <f t="shared" si="0"/>
        <v>0</v>
      </c>
    </row>
    <row r="19" spans="2:12" x14ac:dyDescent="0.25">
      <c r="B19" s="31">
        <v>5200778328</v>
      </c>
      <c r="C19" t="s">
        <v>129</v>
      </c>
      <c r="D19" s="1">
        <v>342500000</v>
      </c>
      <c r="E19" s="1">
        <v>134761000</v>
      </c>
      <c r="I19" s="161">
        <v>5200954167</v>
      </c>
      <c r="J19">
        <v>67500000</v>
      </c>
      <c r="K19">
        <v>67500000</v>
      </c>
      <c r="L19" s="1">
        <f t="shared" si="0"/>
        <v>0</v>
      </c>
    </row>
    <row r="20" spans="2:12" x14ac:dyDescent="0.25">
      <c r="B20" s="31">
        <v>5200779579</v>
      </c>
      <c r="C20" t="s">
        <v>129</v>
      </c>
      <c r="D20" s="1">
        <v>156000000</v>
      </c>
      <c r="E20" s="1">
        <v>31200000</v>
      </c>
      <c r="I20" s="161">
        <v>5200954168</v>
      </c>
      <c r="J20">
        <v>45000000</v>
      </c>
      <c r="K20">
        <v>45000000</v>
      </c>
      <c r="L20" s="1">
        <f t="shared" si="0"/>
        <v>0</v>
      </c>
    </row>
    <row r="21" spans="2:12" x14ac:dyDescent="0.25">
      <c r="B21" s="31">
        <v>5200779815</v>
      </c>
      <c r="C21" t="s">
        <v>129</v>
      </c>
      <c r="D21" s="1">
        <v>342500000</v>
      </c>
      <c r="E21" s="1">
        <v>134761000</v>
      </c>
      <c r="I21" s="161">
        <v>5200954169</v>
      </c>
      <c r="J21">
        <v>45000000</v>
      </c>
      <c r="K21">
        <v>45000000</v>
      </c>
      <c r="L21" s="1">
        <f t="shared" si="0"/>
        <v>0</v>
      </c>
    </row>
    <row r="22" spans="2:12" x14ac:dyDescent="0.25">
      <c r="B22" s="31">
        <v>5200988854</v>
      </c>
      <c r="C22" t="s">
        <v>129</v>
      </c>
      <c r="D22" s="1">
        <v>374287500</v>
      </c>
      <c r="E22" s="1">
        <v>74857500</v>
      </c>
      <c r="I22" s="161">
        <v>5200972695</v>
      </c>
      <c r="J22">
        <v>80400000</v>
      </c>
      <c r="K22">
        <v>102000000</v>
      </c>
      <c r="L22" s="1">
        <f t="shared" si="0"/>
        <v>-21600000</v>
      </c>
    </row>
    <row r="23" spans="2:12" x14ac:dyDescent="0.25">
      <c r="B23">
        <v>5200954145</v>
      </c>
      <c r="C23" t="s">
        <v>120</v>
      </c>
      <c r="D23" s="1">
        <v>225000000</v>
      </c>
      <c r="E23" s="1">
        <v>45000000</v>
      </c>
      <c r="I23" s="161">
        <v>5200988854</v>
      </c>
      <c r="J23"/>
      <c r="K23">
        <v>74857500</v>
      </c>
      <c r="L23" s="1">
        <f t="shared" si="0"/>
        <v>-74857500</v>
      </c>
    </row>
    <row r="24" spans="2:12" x14ac:dyDescent="0.25">
      <c r="B24">
        <v>5200954149</v>
      </c>
      <c r="C24" t="s">
        <v>120</v>
      </c>
      <c r="D24" s="1">
        <v>337500000</v>
      </c>
      <c r="E24" s="1">
        <v>67500000</v>
      </c>
      <c r="I24" s="161" t="s">
        <v>122</v>
      </c>
      <c r="J24">
        <v>1349041470</v>
      </c>
      <c r="K24">
        <v>1476698970</v>
      </c>
      <c r="L24" s="1">
        <f t="shared" si="0"/>
        <v>-127657500</v>
      </c>
    </row>
    <row r="25" spans="2:12" x14ac:dyDescent="0.25">
      <c r="B25">
        <v>5200954160</v>
      </c>
      <c r="C25" t="s">
        <v>120</v>
      </c>
      <c r="D25" s="1">
        <v>337500000</v>
      </c>
      <c r="E25" s="1">
        <v>67500000</v>
      </c>
    </row>
    <row r="26" spans="2:12" x14ac:dyDescent="0.25">
      <c r="B26">
        <v>5200954165</v>
      </c>
      <c r="C26" t="s">
        <v>120</v>
      </c>
      <c r="D26" s="1">
        <v>337500000</v>
      </c>
      <c r="E26" s="1">
        <v>67500000</v>
      </c>
    </row>
    <row r="27" spans="2:12" x14ac:dyDescent="0.25">
      <c r="B27">
        <v>5200954167</v>
      </c>
      <c r="C27" t="s">
        <v>120</v>
      </c>
      <c r="D27" s="1">
        <v>337500000</v>
      </c>
      <c r="E27" s="1">
        <v>67500000</v>
      </c>
    </row>
    <row r="28" spans="2:12" x14ac:dyDescent="0.25">
      <c r="B28">
        <v>5200954169</v>
      </c>
      <c r="C28" t="s">
        <v>120</v>
      </c>
      <c r="D28" s="1">
        <v>225000000</v>
      </c>
      <c r="E28" s="1">
        <v>45000000</v>
      </c>
    </row>
    <row r="29" spans="2:12" x14ac:dyDescent="0.25">
      <c r="B29">
        <v>5200954168</v>
      </c>
      <c r="C29" t="s">
        <v>120</v>
      </c>
      <c r="D29" s="1">
        <v>225000000</v>
      </c>
      <c r="E29" s="1">
        <v>45000000</v>
      </c>
    </row>
    <row r="30" spans="2:12" x14ac:dyDescent="0.25">
      <c r="B30">
        <v>5200776987</v>
      </c>
      <c r="C30" t="s">
        <v>120</v>
      </c>
      <c r="D30" s="1">
        <v>225000000</v>
      </c>
      <c r="E30" s="1">
        <v>45000000</v>
      </c>
    </row>
    <row r="31" spans="2:12" x14ac:dyDescent="0.25">
      <c r="B31">
        <v>5200777132</v>
      </c>
      <c r="C31" t="s">
        <v>120</v>
      </c>
      <c r="D31" s="1">
        <v>404575000</v>
      </c>
      <c r="E31" s="1">
        <v>52594750</v>
      </c>
    </row>
    <row r="32" spans="2:12" x14ac:dyDescent="0.25">
      <c r="B32">
        <v>5200972695</v>
      </c>
      <c r="C32" t="s">
        <v>120</v>
      </c>
      <c r="D32" s="1">
        <v>402000000</v>
      </c>
      <c r="E32" s="1">
        <v>80400000</v>
      </c>
    </row>
    <row r="33" spans="2:5" x14ac:dyDescent="0.25">
      <c r="B33">
        <v>5200777558</v>
      </c>
      <c r="C33" t="s">
        <v>120</v>
      </c>
      <c r="D33" s="1">
        <v>342500000</v>
      </c>
      <c r="E33" s="1">
        <v>68500000</v>
      </c>
    </row>
    <row r="34" spans="2:5" x14ac:dyDescent="0.25">
      <c r="B34">
        <v>5200777559</v>
      </c>
      <c r="C34" t="s">
        <v>120</v>
      </c>
      <c r="D34" s="1">
        <v>225000000</v>
      </c>
      <c r="E34" s="1">
        <v>45000000</v>
      </c>
    </row>
    <row r="35" spans="2:5" x14ac:dyDescent="0.25">
      <c r="B35">
        <v>5200777758</v>
      </c>
      <c r="C35" t="s">
        <v>120</v>
      </c>
      <c r="D35" s="1">
        <v>1115524100</v>
      </c>
      <c r="E35" s="1">
        <v>223104820</v>
      </c>
    </row>
    <row r="36" spans="2:5" x14ac:dyDescent="0.25">
      <c r="B36">
        <v>5200777098</v>
      </c>
      <c r="C36" t="s">
        <v>120</v>
      </c>
      <c r="D36" s="1">
        <v>286243500</v>
      </c>
      <c r="E36" s="1">
        <v>57248700</v>
      </c>
    </row>
    <row r="37" spans="2:5" x14ac:dyDescent="0.25">
      <c r="B37">
        <v>5200777098</v>
      </c>
      <c r="C37" t="s">
        <v>120</v>
      </c>
      <c r="D37" s="1">
        <v>288356000</v>
      </c>
      <c r="E37" s="1">
        <v>57671200</v>
      </c>
    </row>
    <row r="38" spans="2:5" x14ac:dyDescent="0.25">
      <c r="B38">
        <v>5200778328</v>
      </c>
      <c r="C38" t="s">
        <v>120</v>
      </c>
      <c r="D38" s="1">
        <v>342500000</v>
      </c>
      <c r="E38" s="1">
        <v>134761000</v>
      </c>
    </row>
    <row r="39" spans="2:5" x14ac:dyDescent="0.25">
      <c r="B39">
        <v>5200778319</v>
      </c>
      <c r="C39" t="s">
        <v>120</v>
      </c>
      <c r="D39" s="1">
        <v>225000000</v>
      </c>
      <c r="E39" s="1">
        <v>45000000</v>
      </c>
    </row>
    <row r="40" spans="2:5" x14ac:dyDescent="0.25">
      <c r="B40">
        <v>5200779815</v>
      </c>
      <c r="C40" t="s">
        <v>120</v>
      </c>
      <c r="D40" s="1">
        <v>342500000</v>
      </c>
      <c r="E40" s="1">
        <v>134761000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BFE2-464C-4523-ABED-68DD3F7222EB}">
  <dimension ref="B2:D7"/>
  <sheetViews>
    <sheetView workbookViewId="0">
      <selection activeCell="N13" sqref="N13"/>
    </sheetView>
  </sheetViews>
  <sheetFormatPr defaultRowHeight="15" x14ac:dyDescent="0.25"/>
  <cols>
    <col min="3" max="3" width="14.28515625" bestFit="1" customWidth="1"/>
    <col min="4" max="4" width="12.5703125" bestFit="1" customWidth="1"/>
  </cols>
  <sheetData>
    <row r="2" spans="2:4" x14ac:dyDescent="0.25">
      <c r="B2" s="69" t="s">
        <v>81</v>
      </c>
      <c r="C2" s="70" t="s">
        <v>7</v>
      </c>
      <c r="D2" s="71" t="s">
        <v>8</v>
      </c>
    </row>
    <row r="3" spans="2:4" x14ac:dyDescent="0.25">
      <c r="B3" s="72">
        <v>45990</v>
      </c>
      <c r="C3" s="2">
        <f>'Summary V.1'!I20+'Summary V.1'!I23</f>
        <v>567500000</v>
      </c>
      <c r="D3" s="73">
        <f>'Summary V.1'!W20+'Summary V.1'!W23</f>
        <v>113500000</v>
      </c>
    </row>
    <row r="4" spans="2:4" x14ac:dyDescent="0.25">
      <c r="B4" s="72">
        <v>45992</v>
      </c>
      <c r="C4" s="2">
        <f>'Summary V.1'!I22+'Summary V.1'!I24</f>
        <v>627000000</v>
      </c>
      <c r="D4" s="73">
        <f>'Summary V.1'!M22+'Summary V.1'!M24</f>
        <v>147000000</v>
      </c>
    </row>
    <row r="5" spans="2:4" x14ac:dyDescent="0.25">
      <c r="B5" s="72">
        <v>45997</v>
      </c>
      <c r="C5" s="2">
        <f>'Summary V.1'!I19+'Summary V.1'!I25</f>
        <v>1690123600</v>
      </c>
      <c r="D5" s="73">
        <f>'Summary V.1'!M19+'Summary V.1'!M25</f>
        <v>338024720</v>
      </c>
    </row>
    <row r="6" spans="2:4" x14ac:dyDescent="0.25">
      <c r="B6" s="72">
        <v>46007</v>
      </c>
      <c r="C6" s="2">
        <f>'Summary V.1'!I26+'Summary V.1'!I27</f>
        <v>567500000</v>
      </c>
      <c r="D6" s="73">
        <f>'Summary V.1'!M26+'Summary V.1'!M27</f>
        <v>179761000</v>
      </c>
    </row>
    <row r="7" spans="2:4" x14ac:dyDescent="0.25">
      <c r="B7" s="74" t="s">
        <v>5</v>
      </c>
      <c r="C7" s="75">
        <f>SUM(C3:C6)</f>
        <v>3452123600</v>
      </c>
      <c r="D7" s="76">
        <f>SUM(D3:D6)</f>
        <v>778285720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7BD2-6D69-48E7-943C-0040E6ACC14A}">
  <dimension ref="A2:Q91"/>
  <sheetViews>
    <sheetView workbookViewId="0">
      <pane xSplit="5" ySplit="3" topLeftCell="F42" activePane="bottomRight" state="frozen"/>
      <selection activeCell="A31" sqref="A31:XFD42"/>
      <selection pane="topRight" activeCell="A31" sqref="A31:XFD42"/>
      <selection pane="bottomLeft" activeCell="A31" sqref="A31:XFD42"/>
      <selection pane="bottomRight" activeCell="A31" sqref="A31:XFD42"/>
    </sheetView>
  </sheetViews>
  <sheetFormatPr defaultColWidth="8.85546875" defaultRowHeight="15" x14ac:dyDescent="0.25"/>
  <cols>
    <col min="1" max="1" width="4" bestFit="1" customWidth="1"/>
    <col min="2" max="3" width="11" bestFit="1" customWidth="1"/>
    <col min="4" max="4" width="42.42578125" bestFit="1" customWidth="1"/>
    <col min="5" max="5" width="4.140625" bestFit="1" customWidth="1"/>
    <col min="6" max="6" width="14.28515625" style="1" bestFit="1" customWidth="1"/>
    <col min="7" max="8" width="14.28515625" bestFit="1" customWidth="1"/>
    <col min="9" max="9" width="12.42578125" bestFit="1" customWidth="1"/>
    <col min="10" max="10" width="16.85546875" bestFit="1" customWidth="1"/>
    <col min="11" max="11" width="10.7109375" bestFit="1" customWidth="1"/>
    <col min="13" max="13" width="10.7109375" bestFit="1" customWidth="1"/>
    <col min="14" max="14" width="15.28515625" bestFit="1" customWidth="1"/>
    <col min="15" max="16" width="15.28515625" customWidth="1"/>
    <col min="17" max="17" width="18.7109375" bestFit="1" customWidth="1"/>
  </cols>
  <sheetData>
    <row r="2" spans="1:17" x14ac:dyDescent="0.25"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N2">
        <v>12</v>
      </c>
      <c r="O2">
        <v>13</v>
      </c>
      <c r="P2">
        <v>14</v>
      </c>
      <c r="Q2">
        <v>15</v>
      </c>
    </row>
    <row r="3" spans="1:17" x14ac:dyDescent="0.25">
      <c r="A3" s="49" t="s">
        <v>0</v>
      </c>
      <c r="B3" s="50" t="s">
        <v>1</v>
      </c>
      <c r="C3" s="49" t="s">
        <v>10</v>
      </c>
      <c r="D3" s="49" t="s">
        <v>2</v>
      </c>
      <c r="E3" s="49" t="s">
        <v>4</v>
      </c>
      <c r="F3" s="51" t="s">
        <v>6</v>
      </c>
      <c r="G3" s="49" t="s">
        <v>5</v>
      </c>
      <c r="H3" s="49" t="s">
        <v>17</v>
      </c>
      <c r="I3" s="49" t="s">
        <v>8</v>
      </c>
      <c r="J3" s="4" t="s">
        <v>12</v>
      </c>
      <c r="K3" s="4" t="s">
        <v>14</v>
      </c>
      <c r="L3" s="4" t="s">
        <v>9</v>
      </c>
      <c r="M3" s="4" t="s">
        <v>79</v>
      </c>
      <c r="N3" s="4" t="s">
        <v>8</v>
      </c>
      <c r="O3" s="4" t="s">
        <v>19</v>
      </c>
      <c r="P3" s="4" t="s">
        <v>13</v>
      </c>
      <c r="Q3" s="4" t="s">
        <v>18</v>
      </c>
    </row>
    <row r="4" spans="1:17" s="59" customFormat="1" x14ac:dyDescent="0.25">
      <c r="A4" s="53">
        <v>1</v>
      </c>
      <c r="B4" s="53">
        <v>5200954145</v>
      </c>
      <c r="C4" s="54">
        <v>45839</v>
      </c>
      <c r="D4" s="53" t="s">
        <v>3</v>
      </c>
      <c r="E4" s="53">
        <v>1</v>
      </c>
      <c r="F4" s="55">
        <v>225000000</v>
      </c>
      <c r="G4" s="56">
        <f>E4*F4</f>
        <v>225000000</v>
      </c>
      <c r="H4" s="56">
        <f>G4*50%</f>
        <v>112500000</v>
      </c>
      <c r="I4" s="56">
        <f>H4*20%</f>
        <v>22500000</v>
      </c>
      <c r="J4" s="53" t="s">
        <v>11</v>
      </c>
      <c r="K4" s="57">
        <v>45863</v>
      </c>
      <c r="L4" s="53">
        <v>1</v>
      </c>
      <c r="M4" s="58">
        <v>45861</v>
      </c>
      <c r="N4" s="56">
        <f>I4*L4</f>
        <v>22500000</v>
      </c>
      <c r="O4" s="56"/>
      <c r="P4" s="57">
        <f>K4+30</f>
        <v>45893</v>
      </c>
      <c r="Q4" s="56">
        <f>I4-N4</f>
        <v>0</v>
      </c>
    </row>
    <row r="5" spans="1:17" s="59" customFormat="1" x14ac:dyDescent="0.25">
      <c r="A5" s="53">
        <v>2</v>
      </c>
      <c r="B5" s="53">
        <v>5200954145</v>
      </c>
      <c r="C5" s="54">
        <v>45839</v>
      </c>
      <c r="D5" s="53" t="s">
        <v>3</v>
      </c>
      <c r="E5" s="53">
        <v>1</v>
      </c>
      <c r="F5" s="55">
        <v>225000000</v>
      </c>
      <c r="G5" s="56">
        <f t="shared" ref="G5:G11" si="0">E5*F5</f>
        <v>225000000</v>
      </c>
      <c r="H5" s="56">
        <f t="shared" ref="H5:H22" si="1">G5*50%</f>
        <v>112500000</v>
      </c>
      <c r="I5" s="56">
        <f t="shared" ref="I5:I22" si="2">H5*20%</f>
        <v>22500000</v>
      </c>
      <c r="J5" s="53" t="s">
        <v>11</v>
      </c>
      <c r="K5" s="57">
        <v>45863</v>
      </c>
      <c r="L5" s="53">
        <v>1</v>
      </c>
      <c r="M5" s="58">
        <v>45861</v>
      </c>
      <c r="N5" s="56">
        <f t="shared" ref="N5" si="3">I5*L5</f>
        <v>22500000</v>
      </c>
      <c r="O5" s="56"/>
      <c r="P5" s="57">
        <f t="shared" ref="P5" si="4">K5+30</f>
        <v>45893</v>
      </c>
      <c r="Q5" s="56">
        <f t="shared" ref="Q5:Q59" si="5">I5-N5</f>
        <v>0</v>
      </c>
    </row>
    <row r="6" spans="1:17" s="59" customFormat="1" x14ac:dyDescent="0.25">
      <c r="A6" s="53">
        <v>3</v>
      </c>
      <c r="B6" s="53">
        <v>5200954149</v>
      </c>
      <c r="C6" s="54">
        <v>45839</v>
      </c>
      <c r="D6" s="53" t="s">
        <v>3</v>
      </c>
      <c r="E6" s="53">
        <v>1</v>
      </c>
      <c r="F6" s="55">
        <v>225000000</v>
      </c>
      <c r="G6" s="56">
        <f t="shared" si="0"/>
        <v>225000000</v>
      </c>
      <c r="H6" s="56">
        <f t="shared" si="1"/>
        <v>112500000</v>
      </c>
      <c r="I6" s="56">
        <f t="shared" si="2"/>
        <v>22500000</v>
      </c>
      <c r="J6" s="53" t="s">
        <v>15</v>
      </c>
      <c r="K6" s="57">
        <v>45863</v>
      </c>
      <c r="L6" s="53">
        <v>1</v>
      </c>
      <c r="M6" s="58">
        <v>45861</v>
      </c>
      <c r="N6" s="56">
        <f t="shared" ref="N6:N11" si="6">I6*L6</f>
        <v>22500000</v>
      </c>
      <c r="O6" s="56"/>
      <c r="P6" s="57">
        <f t="shared" ref="P6:P21" si="7">K6+30</f>
        <v>45893</v>
      </c>
      <c r="Q6" s="56">
        <f t="shared" si="5"/>
        <v>0</v>
      </c>
    </row>
    <row r="7" spans="1:17" s="59" customFormat="1" x14ac:dyDescent="0.25">
      <c r="A7" s="53">
        <v>4</v>
      </c>
      <c r="B7" s="53">
        <v>5200954149</v>
      </c>
      <c r="C7" s="54">
        <v>45839</v>
      </c>
      <c r="D7" s="53" t="s">
        <v>3</v>
      </c>
      <c r="E7" s="53">
        <v>1</v>
      </c>
      <c r="F7" s="55">
        <v>225000000</v>
      </c>
      <c r="G7" s="56">
        <f t="shared" si="0"/>
        <v>225000000</v>
      </c>
      <c r="H7" s="56">
        <f t="shared" si="1"/>
        <v>112500000</v>
      </c>
      <c r="I7" s="56">
        <f t="shared" si="2"/>
        <v>22500000</v>
      </c>
      <c r="J7" s="53" t="s">
        <v>15</v>
      </c>
      <c r="K7" s="57">
        <v>45863</v>
      </c>
      <c r="L7" s="53">
        <v>1</v>
      </c>
      <c r="M7" s="58">
        <v>45861</v>
      </c>
      <c r="N7" s="56">
        <f t="shared" si="6"/>
        <v>22500000</v>
      </c>
      <c r="O7" s="56"/>
      <c r="P7" s="57">
        <f t="shared" si="7"/>
        <v>45893</v>
      </c>
      <c r="Q7" s="56">
        <f t="shared" si="5"/>
        <v>0</v>
      </c>
    </row>
    <row r="8" spans="1:17" s="59" customFormat="1" x14ac:dyDescent="0.25">
      <c r="A8" s="53">
        <v>5</v>
      </c>
      <c r="B8" s="53">
        <v>5200954149</v>
      </c>
      <c r="C8" s="54">
        <v>45839</v>
      </c>
      <c r="D8" s="53" t="s">
        <v>3</v>
      </c>
      <c r="E8" s="53">
        <v>1</v>
      </c>
      <c r="F8" s="55">
        <v>225000000</v>
      </c>
      <c r="G8" s="56">
        <f t="shared" si="0"/>
        <v>225000000</v>
      </c>
      <c r="H8" s="56">
        <f t="shared" si="1"/>
        <v>112500000</v>
      </c>
      <c r="I8" s="56">
        <f t="shared" si="2"/>
        <v>22500000</v>
      </c>
      <c r="J8" s="53" t="s">
        <v>15</v>
      </c>
      <c r="K8" s="57">
        <v>45863</v>
      </c>
      <c r="L8" s="53">
        <v>1</v>
      </c>
      <c r="M8" s="58">
        <v>45861</v>
      </c>
      <c r="N8" s="56">
        <f t="shared" si="6"/>
        <v>22500000</v>
      </c>
      <c r="O8" s="56"/>
      <c r="P8" s="57">
        <f t="shared" si="7"/>
        <v>45893</v>
      </c>
      <c r="Q8" s="56">
        <f t="shared" si="5"/>
        <v>0</v>
      </c>
    </row>
    <row r="9" spans="1:17" s="59" customFormat="1" x14ac:dyDescent="0.25">
      <c r="A9" s="53">
        <v>6</v>
      </c>
      <c r="B9" s="53">
        <v>5200954160</v>
      </c>
      <c r="C9" s="54">
        <v>45839</v>
      </c>
      <c r="D9" s="53" t="s">
        <v>3</v>
      </c>
      <c r="E9" s="53">
        <v>1</v>
      </c>
      <c r="F9" s="55">
        <v>225000000</v>
      </c>
      <c r="G9" s="56">
        <f t="shared" si="0"/>
        <v>225000000</v>
      </c>
      <c r="H9" s="56">
        <f t="shared" si="1"/>
        <v>112500000</v>
      </c>
      <c r="I9" s="56">
        <f t="shared" si="2"/>
        <v>22500000</v>
      </c>
      <c r="J9" s="53" t="s">
        <v>16</v>
      </c>
      <c r="K9" s="57">
        <v>45863</v>
      </c>
      <c r="L9" s="53">
        <v>1</v>
      </c>
      <c r="M9" s="58">
        <v>45861</v>
      </c>
      <c r="N9" s="56">
        <f t="shared" si="6"/>
        <v>22500000</v>
      </c>
      <c r="O9" s="56"/>
      <c r="P9" s="57">
        <f t="shared" si="7"/>
        <v>45893</v>
      </c>
      <c r="Q9" s="56">
        <f t="shared" si="5"/>
        <v>0</v>
      </c>
    </row>
    <row r="10" spans="1:17" s="59" customFormat="1" x14ac:dyDescent="0.25">
      <c r="A10" s="53">
        <v>7</v>
      </c>
      <c r="B10" s="53">
        <v>5200954160</v>
      </c>
      <c r="C10" s="54">
        <v>45839</v>
      </c>
      <c r="D10" s="53" t="s">
        <v>3</v>
      </c>
      <c r="E10" s="53">
        <v>1</v>
      </c>
      <c r="F10" s="55">
        <v>225000000</v>
      </c>
      <c r="G10" s="56">
        <f t="shared" si="0"/>
        <v>225000000</v>
      </c>
      <c r="H10" s="56">
        <f t="shared" si="1"/>
        <v>112500000</v>
      </c>
      <c r="I10" s="56">
        <f t="shared" si="2"/>
        <v>22500000</v>
      </c>
      <c r="J10" s="53" t="s">
        <v>16</v>
      </c>
      <c r="K10" s="57">
        <v>45863</v>
      </c>
      <c r="L10" s="53">
        <v>1</v>
      </c>
      <c r="M10" s="58">
        <v>45868</v>
      </c>
      <c r="N10" s="56">
        <f t="shared" si="6"/>
        <v>22500000</v>
      </c>
      <c r="O10" s="56"/>
      <c r="P10" s="57">
        <f t="shared" si="7"/>
        <v>45893</v>
      </c>
      <c r="Q10" s="56">
        <f t="shared" si="5"/>
        <v>0</v>
      </c>
    </row>
    <row r="11" spans="1:17" s="59" customFormat="1" x14ac:dyDescent="0.25">
      <c r="A11" s="53">
        <v>8</v>
      </c>
      <c r="B11" s="53">
        <v>5200954160</v>
      </c>
      <c r="C11" s="54">
        <v>45839</v>
      </c>
      <c r="D11" s="53" t="s">
        <v>3</v>
      </c>
      <c r="E11" s="53">
        <v>1</v>
      </c>
      <c r="F11" s="55">
        <v>225000000</v>
      </c>
      <c r="G11" s="56">
        <f t="shared" si="0"/>
        <v>225000000</v>
      </c>
      <c r="H11" s="56">
        <f t="shared" si="1"/>
        <v>112500000</v>
      </c>
      <c r="I11" s="56">
        <f t="shared" si="2"/>
        <v>22500000</v>
      </c>
      <c r="J11" s="53" t="s">
        <v>16</v>
      </c>
      <c r="K11" s="57">
        <v>45863</v>
      </c>
      <c r="L11" s="53">
        <v>1</v>
      </c>
      <c r="M11" s="58">
        <v>45868</v>
      </c>
      <c r="N11" s="56">
        <f t="shared" si="6"/>
        <v>22500000</v>
      </c>
      <c r="O11" s="56"/>
      <c r="P11" s="57">
        <f t="shared" si="7"/>
        <v>45893</v>
      </c>
      <c r="Q11" s="56">
        <f t="shared" si="5"/>
        <v>0</v>
      </c>
    </row>
    <row r="12" spans="1:17" s="59" customFormat="1" x14ac:dyDescent="0.25">
      <c r="A12" s="53">
        <v>9</v>
      </c>
      <c r="B12" s="53">
        <v>5200954165</v>
      </c>
      <c r="C12" s="54">
        <v>45870</v>
      </c>
      <c r="D12" s="53" t="s">
        <v>3</v>
      </c>
      <c r="E12" s="53">
        <v>1</v>
      </c>
      <c r="F12" s="55">
        <v>225000000</v>
      </c>
      <c r="G12" s="56">
        <f t="shared" ref="G12" si="8">E12*F12</f>
        <v>225000000</v>
      </c>
      <c r="H12" s="56">
        <f t="shared" si="1"/>
        <v>112500000</v>
      </c>
      <c r="I12" s="56">
        <f t="shared" si="2"/>
        <v>22500000</v>
      </c>
      <c r="J12" s="53" t="s">
        <v>43</v>
      </c>
      <c r="K12" s="57">
        <v>45873</v>
      </c>
      <c r="L12" s="53">
        <v>1</v>
      </c>
      <c r="M12" s="58">
        <v>45868</v>
      </c>
      <c r="N12" s="56">
        <f t="shared" ref="N12:N44" si="9">I12*L12</f>
        <v>22500000</v>
      </c>
      <c r="O12" s="53"/>
      <c r="P12" s="57">
        <f t="shared" si="7"/>
        <v>45903</v>
      </c>
      <c r="Q12" s="56">
        <f t="shared" si="5"/>
        <v>0</v>
      </c>
    </row>
    <row r="13" spans="1:17" s="59" customFormat="1" x14ac:dyDescent="0.25">
      <c r="A13" s="53">
        <v>10</v>
      </c>
      <c r="B13" s="53">
        <v>5200954165</v>
      </c>
      <c r="C13" s="54">
        <v>45870</v>
      </c>
      <c r="D13" s="53" t="s">
        <v>3</v>
      </c>
      <c r="E13" s="53">
        <v>1</v>
      </c>
      <c r="F13" s="55">
        <v>225000000</v>
      </c>
      <c r="G13" s="56">
        <f t="shared" ref="G13:G14" si="10">E13*F13</f>
        <v>225000000</v>
      </c>
      <c r="H13" s="56">
        <f t="shared" si="1"/>
        <v>112500000</v>
      </c>
      <c r="I13" s="56">
        <f t="shared" si="2"/>
        <v>22500000</v>
      </c>
      <c r="J13" s="53" t="s">
        <v>43</v>
      </c>
      <c r="K13" s="57">
        <v>45873</v>
      </c>
      <c r="L13" s="53">
        <v>1</v>
      </c>
      <c r="M13" s="58">
        <v>45868</v>
      </c>
      <c r="N13" s="56">
        <f t="shared" si="9"/>
        <v>22500000</v>
      </c>
      <c r="O13" s="53"/>
      <c r="P13" s="57">
        <f t="shared" si="7"/>
        <v>45903</v>
      </c>
      <c r="Q13" s="56">
        <f t="shared" si="5"/>
        <v>0</v>
      </c>
    </row>
    <row r="14" spans="1:17" s="59" customFormat="1" x14ac:dyDescent="0.25">
      <c r="A14" s="53">
        <v>11</v>
      </c>
      <c r="B14" s="53">
        <v>5200954165</v>
      </c>
      <c r="C14" s="54">
        <v>45870</v>
      </c>
      <c r="D14" s="53" t="s">
        <v>3</v>
      </c>
      <c r="E14" s="53">
        <v>1</v>
      </c>
      <c r="F14" s="55">
        <v>225000000</v>
      </c>
      <c r="G14" s="56">
        <f t="shared" si="10"/>
        <v>225000000</v>
      </c>
      <c r="H14" s="56">
        <f t="shared" si="1"/>
        <v>112500000</v>
      </c>
      <c r="I14" s="56">
        <f t="shared" si="2"/>
        <v>22500000</v>
      </c>
      <c r="J14" s="53" t="s">
        <v>43</v>
      </c>
      <c r="K14" s="57">
        <v>45873</v>
      </c>
      <c r="L14" s="53">
        <v>1</v>
      </c>
      <c r="M14" s="58">
        <v>45868</v>
      </c>
      <c r="N14" s="56">
        <f t="shared" si="9"/>
        <v>22500000</v>
      </c>
      <c r="O14" s="53"/>
      <c r="P14" s="57">
        <f t="shared" si="7"/>
        <v>45903</v>
      </c>
      <c r="Q14" s="56">
        <f t="shared" si="5"/>
        <v>0</v>
      </c>
    </row>
    <row r="15" spans="1:17" s="59" customFormat="1" x14ac:dyDescent="0.25">
      <c r="A15" s="53">
        <v>12</v>
      </c>
      <c r="B15" s="53">
        <v>5200954167</v>
      </c>
      <c r="C15" s="54">
        <v>45870</v>
      </c>
      <c r="D15" s="53" t="s">
        <v>3</v>
      </c>
      <c r="E15" s="53">
        <v>1</v>
      </c>
      <c r="F15" s="55">
        <v>225000000</v>
      </c>
      <c r="G15" s="56">
        <f t="shared" ref="G15" si="11">E15*F15</f>
        <v>225000000</v>
      </c>
      <c r="H15" s="56">
        <f t="shared" si="1"/>
        <v>112500000</v>
      </c>
      <c r="I15" s="56">
        <f t="shared" si="2"/>
        <v>22500000</v>
      </c>
      <c r="J15" s="53" t="s">
        <v>43</v>
      </c>
      <c r="K15" s="57">
        <v>45873</v>
      </c>
      <c r="L15" s="53">
        <v>1</v>
      </c>
      <c r="M15" s="58">
        <v>45868</v>
      </c>
      <c r="N15" s="56">
        <f t="shared" si="9"/>
        <v>22500000</v>
      </c>
      <c r="O15" s="53"/>
      <c r="P15" s="57">
        <f t="shared" si="7"/>
        <v>45903</v>
      </c>
      <c r="Q15" s="56">
        <f t="shared" si="5"/>
        <v>0</v>
      </c>
    </row>
    <row r="16" spans="1:17" s="59" customFormat="1" x14ac:dyDescent="0.25">
      <c r="A16" s="53">
        <v>13</v>
      </c>
      <c r="B16" s="53">
        <v>5200954167</v>
      </c>
      <c r="C16" s="54">
        <v>45870</v>
      </c>
      <c r="D16" s="53" t="s">
        <v>3</v>
      </c>
      <c r="E16" s="53">
        <v>1</v>
      </c>
      <c r="F16" s="55">
        <v>225000000</v>
      </c>
      <c r="G16" s="56">
        <f t="shared" ref="G16:G17" si="12">E16*F16</f>
        <v>225000000</v>
      </c>
      <c r="H16" s="56">
        <f t="shared" si="1"/>
        <v>112500000</v>
      </c>
      <c r="I16" s="56">
        <f t="shared" si="2"/>
        <v>22500000</v>
      </c>
      <c r="J16" s="53" t="s">
        <v>43</v>
      </c>
      <c r="K16" s="57">
        <v>45873</v>
      </c>
      <c r="L16" s="53">
        <v>1</v>
      </c>
      <c r="M16" s="58">
        <v>45868</v>
      </c>
      <c r="N16" s="56">
        <f t="shared" si="9"/>
        <v>22500000</v>
      </c>
      <c r="O16" s="53"/>
      <c r="P16" s="57">
        <f t="shared" si="7"/>
        <v>45903</v>
      </c>
      <c r="Q16" s="56">
        <f t="shared" si="5"/>
        <v>0</v>
      </c>
    </row>
    <row r="17" spans="1:17" s="59" customFormat="1" x14ac:dyDescent="0.25">
      <c r="A17" s="53">
        <v>14</v>
      </c>
      <c r="B17" s="53">
        <v>5200954167</v>
      </c>
      <c r="C17" s="54">
        <v>45870</v>
      </c>
      <c r="D17" s="53" t="s">
        <v>3</v>
      </c>
      <c r="E17" s="53">
        <v>1</v>
      </c>
      <c r="F17" s="55">
        <v>225000000</v>
      </c>
      <c r="G17" s="56">
        <f t="shared" si="12"/>
        <v>225000000</v>
      </c>
      <c r="H17" s="56">
        <f t="shared" si="1"/>
        <v>112500000</v>
      </c>
      <c r="I17" s="56">
        <f t="shared" si="2"/>
        <v>22500000</v>
      </c>
      <c r="J17" s="53" t="s">
        <v>43</v>
      </c>
      <c r="K17" s="57">
        <v>45873</v>
      </c>
      <c r="L17" s="53">
        <v>1</v>
      </c>
      <c r="M17" s="58">
        <v>45868</v>
      </c>
      <c r="N17" s="56">
        <f t="shared" si="9"/>
        <v>22500000</v>
      </c>
      <c r="O17" s="53"/>
      <c r="P17" s="57">
        <f t="shared" si="7"/>
        <v>45903</v>
      </c>
      <c r="Q17" s="56">
        <f t="shared" si="5"/>
        <v>0</v>
      </c>
    </row>
    <row r="18" spans="1:17" s="59" customFormat="1" x14ac:dyDescent="0.25">
      <c r="A18" s="53">
        <v>15</v>
      </c>
      <c r="B18" s="53">
        <v>5200954168</v>
      </c>
      <c r="C18" s="54">
        <v>45870</v>
      </c>
      <c r="D18" s="53" t="s">
        <v>3</v>
      </c>
      <c r="E18" s="53">
        <v>1</v>
      </c>
      <c r="F18" s="55">
        <v>225000000</v>
      </c>
      <c r="G18" s="56">
        <f t="shared" ref="G18" si="13">E18*F18</f>
        <v>225000000</v>
      </c>
      <c r="H18" s="56">
        <f t="shared" si="1"/>
        <v>112500000</v>
      </c>
      <c r="I18" s="56">
        <f t="shared" si="2"/>
        <v>22500000</v>
      </c>
      <c r="J18" s="53" t="s">
        <v>43</v>
      </c>
      <c r="K18" s="57">
        <v>45873</v>
      </c>
      <c r="L18" s="53">
        <v>1</v>
      </c>
      <c r="M18" s="58">
        <v>45868</v>
      </c>
      <c r="N18" s="56">
        <f t="shared" si="9"/>
        <v>22500000</v>
      </c>
      <c r="O18" s="53"/>
      <c r="P18" s="57">
        <f t="shared" si="7"/>
        <v>45903</v>
      </c>
      <c r="Q18" s="56">
        <f t="shared" si="5"/>
        <v>0</v>
      </c>
    </row>
    <row r="19" spans="1:17" s="59" customFormat="1" x14ac:dyDescent="0.25">
      <c r="A19" s="53">
        <v>16</v>
      </c>
      <c r="B19" s="53">
        <v>5200954168</v>
      </c>
      <c r="C19" s="60">
        <v>45870</v>
      </c>
      <c r="D19" s="53" t="s">
        <v>3</v>
      </c>
      <c r="E19" s="53">
        <v>1</v>
      </c>
      <c r="F19" s="55">
        <v>225000000</v>
      </c>
      <c r="G19" s="56">
        <f t="shared" ref="G19" si="14">E19*F19</f>
        <v>225000000</v>
      </c>
      <c r="H19" s="56">
        <f t="shared" si="1"/>
        <v>112500000</v>
      </c>
      <c r="I19" s="56">
        <f t="shared" si="2"/>
        <v>22500000</v>
      </c>
      <c r="J19" s="53" t="s">
        <v>43</v>
      </c>
      <c r="K19" s="57">
        <v>45873</v>
      </c>
      <c r="L19" s="53">
        <v>1</v>
      </c>
      <c r="M19" s="58">
        <v>45868</v>
      </c>
      <c r="N19" s="56">
        <f t="shared" si="9"/>
        <v>22500000</v>
      </c>
      <c r="O19" s="53"/>
      <c r="P19" s="57">
        <f t="shared" si="7"/>
        <v>45903</v>
      </c>
      <c r="Q19" s="56">
        <f t="shared" si="5"/>
        <v>0</v>
      </c>
    </row>
    <row r="20" spans="1:17" s="59" customFormat="1" x14ac:dyDescent="0.25">
      <c r="A20" s="53">
        <v>17</v>
      </c>
      <c r="B20" s="53">
        <v>5200954169</v>
      </c>
      <c r="C20" s="60">
        <v>45870</v>
      </c>
      <c r="D20" s="53" t="s">
        <v>3</v>
      </c>
      <c r="E20" s="53">
        <v>1</v>
      </c>
      <c r="F20" s="55">
        <v>225000000</v>
      </c>
      <c r="G20" s="56">
        <f t="shared" ref="G20" si="15">E20*F20</f>
        <v>225000000</v>
      </c>
      <c r="H20" s="56">
        <f t="shared" si="1"/>
        <v>112500000</v>
      </c>
      <c r="I20" s="56">
        <f t="shared" si="2"/>
        <v>22500000</v>
      </c>
      <c r="J20" s="53" t="s">
        <v>43</v>
      </c>
      <c r="K20" s="57">
        <v>45873</v>
      </c>
      <c r="L20" s="53">
        <v>1</v>
      </c>
      <c r="M20" s="58">
        <v>45868</v>
      </c>
      <c r="N20" s="56">
        <f t="shared" si="9"/>
        <v>22500000</v>
      </c>
      <c r="O20" s="53"/>
      <c r="P20" s="57">
        <f t="shared" si="7"/>
        <v>45903</v>
      </c>
      <c r="Q20" s="56">
        <f t="shared" si="5"/>
        <v>0</v>
      </c>
    </row>
    <row r="21" spans="1:17" s="59" customFormat="1" x14ac:dyDescent="0.25">
      <c r="A21" s="53">
        <v>18</v>
      </c>
      <c r="B21" s="53">
        <v>5200954169</v>
      </c>
      <c r="C21" s="60">
        <v>45870</v>
      </c>
      <c r="D21" s="53" t="s">
        <v>3</v>
      </c>
      <c r="E21" s="53">
        <v>1</v>
      </c>
      <c r="F21" s="55">
        <v>225000000</v>
      </c>
      <c r="G21" s="56">
        <f t="shared" ref="G21:G22" si="16">E21*F21</f>
        <v>225000000</v>
      </c>
      <c r="H21" s="56">
        <f t="shared" si="1"/>
        <v>112500000</v>
      </c>
      <c r="I21" s="56">
        <f t="shared" si="2"/>
        <v>22500000</v>
      </c>
      <c r="J21" s="53" t="s">
        <v>43</v>
      </c>
      <c r="K21" s="57">
        <v>45873</v>
      </c>
      <c r="L21" s="53">
        <v>1</v>
      </c>
      <c r="M21" s="58">
        <v>45868</v>
      </c>
      <c r="N21" s="56">
        <f t="shared" si="9"/>
        <v>22500000</v>
      </c>
      <c r="O21" s="53"/>
      <c r="P21" s="57">
        <f t="shared" si="7"/>
        <v>45903</v>
      </c>
      <c r="Q21" s="56">
        <f t="shared" si="5"/>
        <v>0</v>
      </c>
    </row>
    <row r="22" spans="1:17" s="67" customFormat="1" x14ac:dyDescent="0.25">
      <c r="A22" s="61">
        <v>19</v>
      </c>
      <c r="B22" s="61">
        <v>5200777098</v>
      </c>
      <c r="C22" s="62">
        <v>45877</v>
      </c>
      <c r="D22" s="61" t="s">
        <v>44</v>
      </c>
      <c r="E22" s="61">
        <v>1</v>
      </c>
      <c r="F22" s="63">
        <v>1149199000</v>
      </c>
      <c r="G22" s="64">
        <f t="shared" si="16"/>
        <v>1149199000</v>
      </c>
      <c r="H22" s="64">
        <f t="shared" si="1"/>
        <v>574599500</v>
      </c>
      <c r="I22" s="64">
        <f t="shared" si="2"/>
        <v>114919900</v>
      </c>
      <c r="J22" s="61"/>
      <c r="K22" s="61"/>
      <c r="L22" s="61">
        <v>1</v>
      </c>
      <c r="M22" s="65">
        <v>45930</v>
      </c>
      <c r="N22" s="64">
        <f t="shared" si="9"/>
        <v>114919900</v>
      </c>
      <c r="O22" s="61"/>
      <c r="P22" s="66">
        <v>45967</v>
      </c>
      <c r="Q22" s="64">
        <f t="shared" si="5"/>
        <v>0</v>
      </c>
    </row>
    <row r="23" spans="1:17" s="67" customFormat="1" x14ac:dyDescent="0.25">
      <c r="A23" s="61">
        <v>20</v>
      </c>
      <c r="B23" s="61">
        <v>5200776987</v>
      </c>
      <c r="C23" s="62">
        <v>45877</v>
      </c>
      <c r="D23" s="61" t="s">
        <v>45</v>
      </c>
      <c r="E23" s="61">
        <v>1</v>
      </c>
      <c r="F23" s="63">
        <v>225000000</v>
      </c>
      <c r="G23" s="64">
        <f t="shared" ref="G23:G35" si="17">E23*F23</f>
        <v>225000000</v>
      </c>
      <c r="H23" s="64">
        <f t="shared" ref="H23:H35" si="18">G23*50%</f>
        <v>112500000</v>
      </c>
      <c r="I23" s="64">
        <f t="shared" ref="I23:I24" si="19">H23*20%</f>
        <v>22500000</v>
      </c>
      <c r="J23" s="61"/>
      <c r="K23" s="61"/>
      <c r="L23" s="61">
        <v>1</v>
      </c>
      <c r="M23" s="65">
        <v>45923</v>
      </c>
      <c r="N23" s="64">
        <f t="shared" si="9"/>
        <v>22500000</v>
      </c>
      <c r="O23" s="61"/>
      <c r="P23" s="66">
        <v>45960</v>
      </c>
      <c r="Q23" s="64">
        <f t="shared" si="5"/>
        <v>0</v>
      </c>
    </row>
    <row r="24" spans="1:17" s="67" customFormat="1" x14ac:dyDescent="0.25">
      <c r="A24" s="61">
        <v>21</v>
      </c>
      <c r="B24" s="61">
        <v>5200776987</v>
      </c>
      <c r="C24" s="62">
        <v>45877</v>
      </c>
      <c r="D24" s="61" t="s">
        <v>45</v>
      </c>
      <c r="E24" s="61">
        <v>1</v>
      </c>
      <c r="F24" s="63">
        <v>225000000</v>
      </c>
      <c r="G24" s="64">
        <f t="shared" si="17"/>
        <v>225000000</v>
      </c>
      <c r="H24" s="64">
        <f t="shared" si="18"/>
        <v>112500000</v>
      </c>
      <c r="I24" s="64">
        <f t="shared" si="19"/>
        <v>22500000</v>
      </c>
      <c r="J24" s="61"/>
      <c r="K24" s="61"/>
      <c r="L24" s="61">
        <v>1</v>
      </c>
      <c r="M24" s="65">
        <v>45923</v>
      </c>
      <c r="N24" s="64">
        <f t="shared" si="9"/>
        <v>22500000</v>
      </c>
      <c r="O24" s="61"/>
      <c r="P24" s="66">
        <v>45960</v>
      </c>
      <c r="Q24" s="64">
        <f t="shared" si="5"/>
        <v>0</v>
      </c>
    </row>
    <row r="25" spans="1:17" x14ac:dyDescent="0.25">
      <c r="A25" s="4">
        <v>22</v>
      </c>
      <c r="B25" s="4">
        <v>5200777132</v>
      </c>
      <c r="C25" s="16">
        <v>45880</v>
      </c>
      <c r="D25" s="4" t="s">
        <v>50</v>
      </c>
      <c r="E25" s="4">
        <v>1</v>
      </c>
      <c r="F25" s="6">
        <v>40457500</v>
      </c>
      <c r="G25" s="7">
        <f t="shared" si="17"/>
        <v>40457500</v>
      </c>
      <c r="H25" s="7">
        <f t="shared" si="18"/>
        <v>20228750</v>
      </c>
      <c r="I25" s="7">
        <f>H25*13%</f>
        <v>2629737.5</v>
      </c>
      <c r="J25" s="4"/>
      <c r="K25" s="4"/>
      <c r="L25" s="61">
        <v>1</v>
      </c>
      <c r="M25" s="65">
        <v>45960</v>
      </c>
      <c r="N25" s="64">
        <f t="shared" si="9"/>
        <v>2629737.5</v>
      </c>
      <c r="O25" s="4"/>
      <c r="P25" s="52"/>
      <c r="Q25" s="7">
        <f>I25-N25</f>
        <v>0</v>
      </c>
    </row>
    <row r="26" spans="1:17" x14ac:dyDescent="0.25">
      <c r="A26" s="4">
        <v>23</v>
      </c>
      <c r="B26" s="4">
        <v>5200777132</v>
      </c>
      <c r="C26" s="16">
        <v>45880</v>
      </c>
      <c r="D26" s="4" t="s">
        <v>50</v>
      </c>
      <c r="E26" s="4">
        <v>1</v>
      </c>
      <c r="F26" s="6">
        <v>40457500</v>
      </c>
      <c r="G26" s="7">
        <f t="shared" ref="G26:G34" si="20">E26*F26</f>
        <v>40457500</v>
      </c>
      <c r="H26" s="7">
        <f t="shared" ref="H26:H34" si="21">G26*50%</f>
        <v>20228750</v>
      </c>
      <c r="I26" s="7">
        <f t="shared" ref="I26:I44" si="22">H26*13%</f>
        <v>2629737.5</v>
      </c>
      <c r="J26" s="4"/>
      <c r="K26" s="4"/>
      <c r="L26" s="61">
        <v>1</v>
      </c>
      <c r="M26" s="65">
        <v>45960</v>
      </c>
      <c r="N26" s="64">
        <f t="shared" si="9"/>
        <v>2629737.5</v>
      </c>
      <c r="O26" s="4"/>
      <c r="P26" s="52"/>
      <c r="Q26" s="7">
        <f t="shared" si="5"/>
        <v>0</v>
      </c>
    </row>
    <row r="27" spans="1:17" x14ac:dyDescent="0.25">
      <c r="A27" s="4">
        <v>24</v>
      </c>
      <c r="B27" s="4">
        <v>5200777132</v>
      </c>
      <c r="C27" s="16">
        <v>45880</v>
      </c>
      <c r="D27" s="4" t="s">
        <v>50</v>
      </c>
      <c r="E27" s="4">
        <v>1</v>
      </c>
      <c r="F27" s="6">
        <v>40457500</v>
      </c>
      <c r="G27" s="7">
        <f t="shared" si="20"/>
        <v>40457500</v>
      </c>
      <c r="H27" s="7">
        <f t="shared" si="21"/>
        <v>20228750</v>
      </c>
      <c r="I27" s="7">
        <f t="shared" si="22"/>
        <v>2629737.5</v>
      </c>
      <c r="J27" s="4"/>
      <c r="K27" s="4"/>
      <c r="L27" s="61">
        <v>1</v>
      </c>
      <c r="M27" s="65">
        <v>45960</v>
      </c>
      <c r="N27" s="64">
        <f t="shared" si="9"/>
        <v>2629737.5</v>
      </c>
      <c r="O27" s="4"/>
      <c r="P27" s="52"/>
      <c r="Q27" s="7">
        <f t="shared" si="5"/>
        <v>0</v>
      </c>
    </row>
    <row r="28" spans="1:17" x14ac:dyDescent="0.25">
      <c r="A28" s="4">
        <v>25</v>
      </c>
      <c r="B28" s="4">
        <v>5200777132</v>
      </c>
      <c r="C28" s="16">
        <v>45880</v>
      </c>
      <c r="D28" s="4" t="s">
        <v>50</v>
      </c>
      <c r="E28" s="4">
        <v>1</v>
      </c>
      <c r="F28" s="6">
        <v>40457500</v>
      </c>
      <c r="G28" s="7">
        <f t="shared" si="20"/>
        <v>40457500</v>
      </c>
      <c r="H28" s="7">
        <f t="shared" si="21"/>
        <v>20228750</v>
      </c>
      <c r="I28" s="7">
        <f t="shared" si="22"/>
        <v>2629737.5</v>
      </c>
      <c r="J28" s="4"/>
      <c r="K28" s="4"/>
      <c r="L28" s="61">
        <v>1</v>
      </c>
      <c r="M28" s="65">
        <v>45960</v>
      </c>
      <c r="N28" s="64">
        <f t="shared" si="9"/>
        <v>2629737.5</v>
      </c>
      <c r="O28" s="4"/>
      <c r="P28" s="52"/>
      <c r="Q28" s="7">
        <f t="shared" si="5"/>
        <v>0</v>
      </c>
    </row>
    <row r="29" spans="1:17" x14ac:dyDescent="0.25">
      <c r="A29" s="4">
        <v>26</v>
      </c>
      <c r="B29" s="4">
        <v>5200777132</v>
      </c>
      <c r="C29" s="16">
        <v>45880</v>
      </c>
      <c r="D29" s="4" t="s">
        <v>50</v>
      </c>
      <c r="E29" s="4">
        <v>1</v>
      </c>
      <c r="F29" s="6">
        <v>40457500</v>
      </c>
      <c r="G29" s="7">
        <f t="shared" si="20"/>
        <v>40457500</v>
      </c>
      <c r="H29" s="7">
        <f t="shared" si="21"/>
        <v>20228750</v>
      </c>
      <c r="I29" s="7">
        <f t="shared" si="22"/>
        <v>2629737.5</v>
      </c>
      <c r="J29" s="4"/>
      <c r="K29" s="4"/>
      <c r="L29" s="61">
        <v>1</v>
      </c>
      <c r="M29" s="65">
        <v>45960</v>
      </c>
      <c r="N29" s="64">
        <f t="shared" si="9"/>
        <v>2629737.5</v>
      </c>
      <c r="O29" s="4"/>
      <c r="P29" s="52"/>
      <c r="Q29" s="7">
        <f t="shared" si="5"/>
        <v>0</v>
      </c>
    </row>
    <row r="30" spans="1:17" x14ac:dyDescent="0.25">
      <c r="A30" s="4">
        <v>27</v>
      </c>
      <c r="B30" s="4">
        <v>5200777132</v>
      </c>
      <c r="C30" s="16">
        <v>45880</v>
      </c>
      <c r="D30" s="4" t="s">
        <v>50</v>
      </c>
      <c r="E30" s="4">
        <v>1</v>
      </c>
      <c r="F30" s="6">
        <v>40457500</v>
      </c>
      <c r="G30" s="7">
        <f t="shared" si="20"/>
        <v>40457500</v>
      </c>
      <c r="H30" s="7">
        <f t="shared" si="21"/>
        <v>20228750</v>
      </c>
      <c r="I30" s="7">
        <f t="shared" si="22"/>
        <v>2629737.5</v>
      </c>
      <c r="J30" s="4"/>
      <c r="K30" s="4"/>
      <c r="L30" s="61">
        <v>1</v>
      </c>
      <c r="M30" s="65">
        <v>45960</v>
      </c>
      <c r="N30" s="64">
        <f t="shared" si="9"/>
        <v>2629737.5</v>
      </c>
      <c r="O30" s="4"/>
      <c r="P30" s="52"/>
      <c r="Q30" s="7">
        <f t="shared" si="5"/>
        <v>0</v>
      </c>
    </row>
    <row r="31" spans="1:17" x14ac:dyDescent="0.25">
      <c r="A31" s="4">
        <v>28</v>
      </c>
      <c r="B31" s="4">
        <v>5200777132</v>
      </c>
      <c r="C31" s="16">
        <v>45880</v>
      </c>
      <c r="D31" s="4" t="s">
        <v>50</v>
      </c>
      <c r="E31" s="4">
        <v>1</v>
      </c>
      <c r="F31" s="6">
        <v>40457500</v>
      </c>
      <c r="G31" s="7">
        <f t="shared" si="20"/>
        <v>40457500</v>
      </c>
      <c r="H31" s="7">
        <f t="shared" si="21"/>
        <v>20228750</v>
      </c>
      <c r="I31" s="7">
        <f t="shared" si="22"/>
        <v>2629737.5</v>
      </c>
      <c r="J31" s="4"/>
      <c r="K31" s="4"/>
      <c r="L31" s="61">
        <v>1</v>
      </c>
      <c r="M31" s="65">
        <v>45960</v>
      </c>
      <c r="N31" s="64">
        <f t="shared" si="9"/>
        <v>2629737.5</v>
      </c>
      <c r="O31" s="4"/>
      <c r="P31" s="52"/>
      <c r="Q31" s="7">
        <f t="shared" si="5"/>
        <v>0</v>
      </c>
    </row>
    <row r="32" spans="1:17" x14ac:dyDescent="0.25">
      <c r="A32" s="4">
        <v>29</v>
      </c>
      <c r="B32" s="4">
        <v>5200777132</v>
      </c>
      <c r="C32" s="16">
        <v>45880</v>
      </c>
      <c r="D32" s="4" t="s">
        <v>50</v>
      </c>
      <c r="E32" s="4">
        <v>1</v>
      </c>
      <c r="F32" s="6">
        <v>40457500</v>
      </c>
      <c r="G32" s="7">
        <f t="shared" si="20"/>
        <v>40457500</v>
      </c>
      <c r="H32" s="7">
        <f t="shared" si="21"/>
        <v>20228750</v>
      </c>
      <c r="I32" s="7">
        <f t="shared" si="22"/>
        <v>2629737.5</v>
      </c>
      <c r="J32" s="4"/>
      <c r="K32" s="4"/>
      <c r="L32" s="61">
        <v>1</v>
      </c>
      <c r="M32" s="65">
        <v>45960</v>
      </c>
      <c r="N32" s="64">
        <f t="shared" si="9"/>
        <v>2629737.5</v>
      </c>
      <c r="O32" s="4"/>
      <c r="P32" s="52"/>
      <c r="Q32" s="7">
        <f t="shared" si="5"/>
        <v>0</v>
      </c>
    </row>
    <row r="33" spans="1:17" x14ac:dyDescent="0.25">
      <c r="A33" s="4">
        <v>30</v>
      </c>
      <c r="B33" s="4">
        <v>5200777132</v>
      </c>
      <c r="C33" s="16">
        <v>45880</v>
      </c>
      <c r="D33" s="4" t="s">
        <v>50</v>
      </c>
      <c r="E33" s="4">
        <v>1</v>
      </c>
      <c r="F33" s="6">
        <v>40457500</v>
      </c>
      <c r="G33" s="7">
        <f t="shared" si="20"/>
        <v>40457500</v>
      </c>
      <c r="H33" s="7">
        <f t="shared" si="21"/>
        <v>20228750</v>
      </c>
      <c r="I33" s="7">
        <f t="shared" si="22"/>
        <v>2629737.5</v>
      </c>
      <c r="J33" s="4"/>
      <c r="K33" s="4"/>
      <c r="L33" s="61">
        <v>1</v>
      </c>
      <c r="M33" s="65">
        <v>45960</v>
      </c>
      <c r="N33" s="64">
        <f t="shared" si="9"/>
        <v>2629737.5</v>
      </c>
      <c r="O33" s="4"/>
      <c r="P33" s="52"/>
      <c r="Q33" s="7">
        <f t="shared" si="5"/>
        <v>0</v>
      </c>
    </row>
    <row r="34" spans="1:17" x14ac:dyDescent="0.25">
      <c r="A34" s="4">
        <v>31</v>
      </c>
      <c r="B34" s="4">
        <v>5200777132</v>
      </c>
      <c r="C34" s="16">
        <v>45880</v>
      </c>
      <c r="D34" s="4" t="s">
        <v>50</v>
      </c>
      <c r="E34" s="4">
        <v>1</v>
      </c>
      <c r="F34" s="6">
        <v>40457500</v>
      </c>
      <c r="G34" s="7">
        <f t="shared" si="20"/>
        <v>40457500</v>
      </c>
      <c r="H34" s="7">
        <f t="shared" si="21"/>
        <v>20228750</v>
      </c>
      <c r="I34" s="7">
        <f t="shared" si="22"/>
        <v>2629737.5</v>
      </c>
      <c r="J34" s="4"/>
      <c r="K34" s="4"/>
      <c r="L34" s="61">
        <v>1</v>
      </c>
      <c r="M34" s="65">
        <v>45960</v>
      </c>
      <c r="N34" s="64">
        <f t="shared" si="9"/>
        <v>2629737.5</v>
      </c>
      <c r="O34" s="4"/>
      <c r="P34" s="52"/>
      <c r="Q34" s="7">
        <f t="shared" si="5"/>
        <v>0</v>
      </c>
    </row>
    <row r="35" spans="1:17" x14ac:dyDescent="0.25">
      <c r="A35" s="4">
        <v>33</v>
      </c>
      <c r="B35" s="4">
        <v>5200777132</v>
      </c>
      <c r="C35" s="16">
        <v>45880</v>
      </c>
      <c r="D35" s="4" t="s">
        <v>49</v>
      </c>
      <c r="E35" s="4">
        <v>1</v>
      </c>
      <c r="F35" s="6">
        <v>40457500</v>
      </c>
      <c r="G35" s="7">
        <f t="shared" si="17"/>
        <v>40457500</v>
      </c>
      <c r="H35" s="7">
        <f t="shared" si="18"/>
        <v>20228750</v>
      </c>
      <c r="I35" s="7">
        <f t="shared" si="22"/>
        <v>2629737.5</v>
      </c>
      <c r="J35" s="4"/>
      <c r="K35" s="4"/>
      <c r="L35" s="61">
        <v>1</v>
      </c>
      <c r="M35" s="65">
        <v>45960</v>
      </c>
      <c r="N35" s="64">
        <f t="shared" si="9"/>
        <v>2629737.5</v>
      </c>
      <c r="O35" s="4"/>
      <c r="P35" s="52"/>
      <c r="Q35" s="7">
        <f t="shared" si="5"/>
        <v>0</v>
      </c>
    </row>
    <row r="36" spans="1:17" x14ac:dyDescent="0.25">
      <c r="A36" s="4">
        <v>34</v>
      </c>
      <c r="B36" s="4">
        <v>5200777132</v>
      </c>
      <c r="C36" s="16">
        <v>45880</v>
      </c>
      <c r="D36" s="4" t="s">
        <v>49</v>
      </c>
      <c r="E36" s="4">
        <v>1</v>
      </c>
      <c r="F36" s="6">
        <v>40457500</v>
      </c>
      <c r="G36" s="7">
        <f t="shared" ref="G36:G45" si="23">E36*F36</f>
        <v>40457500</v>
      </c>
      <c r="H36" s="7">
        <f t="shared" ref="H36:H45" si="24">G36*50%</f>
        <v>20228750</v>
      </c>
      <c r="I36" s="7">
        <f t="shared" si="22"/>
        <v>2629737.5</v>
      </c>
      <c r="J36" s="4"/>
      <c r="K36" s="4"/>
      <c r="L36" s="61">
        <v>1</v>
      </c>
      <c r="M36" s="65">
        <v>45960</v>
      </c>
      <c r="N36" s="64">
        <f t="shared" si="9"/>
        <v>2629737.5</v>
      </c>
      <c r="O36" s="4"/>
      <c r="P36" s="52"/>
      <c r="Q36" s="7">
        <f t="shared" si="5"/>
        <v>0</v>
      </c>
    </row>
    <row r="37" spans="1:17" x14ac:dyDescent="0.25">
      <c r="A37" s="4">
        <v>35</v>
      </c>
      <c r="B37" s="4">
        <v>5200777132</v>
      </c>
      <c r="C37" s="16">
        <v>45880</v>
      </c>
      <c r="D37" s="4" t="s">
        <v>49</v>
      </c>
      <c r="E37" s="4">
        <v>1</v>
      </c>
      <c r="F37" s="6">
        <v>40457500</v>
      </c>
      <c r="G37" s="7">
        <f t="shared" si="23"/>
        <v>40457500</v>
      </c>
      <c r="H37" s="7">
        <f t="shared" si="24"/>
        <v>20228750</v>
      </c>
      <c r="I37" s="7">
        <f t="shared" si="22"/>
        <v>2629737.5</v>
      </c>
      <c r="J37" s="4"/>
      <c r="K37" s="4"/>
      <c r="L37" s="61">
        <v>1</v>
      </c>
      <c r="M37" s="65">
        <v>45960</v>
      </c>
      <c r="N37" s="64">
        <f t="shared" si="9"/>
        <v>2629737.5</v>
      </c>
      <c r="O37" s="4"/>
      <c r="P37" s="52"/>
      <c r="Q37" s="7">
        <f t="shared" si="5"/>
        <v>0</v>
      </c>
    </row>
    <row r="38" spans="1:17" x14ac:dyDescent="0.25">
      <c r="A38" s="4">
        <v>36</v>
      </c>
      <c r="B38" s="4">
        <v>5200777132</v>
      </c>
      <c r="C38" s="16">
        <v>45880</v>
      </c>
      <c r="D38" s="4" t="s">
        <v>49</v>
      </c>
      <c r="E38" s="4">
        <v>1</v>
      </c>
      <c r="F38" s="6">
        <v>40457500</v>
      </c>
      <c r="G38" s="7">
        <f t="shared" si="23"/>
        <v>40457500</v>
      </c>
      <c r="H38" s="7">
        <f t="shared" si="24"/>
        <v>20228750</v>
      </c>
      <c r="I38" s="7">
        <f t="shared" si="22"/>
        <v>2629737.5</v>
      </c>
      <c r="J38" s="4"/>
      <c r="K38" s="4"/>
      <c r="L38" s="61">
        <v>1</v>
      </c>
      <c r="M38" s="65">
        <v>45960</v>
      </c>
      <c r="N38" s="64">
        <f t="shared" si="9"/>
        <v>2629737.5</v>
      </c>
      <c r="O38" s="4"/>
      <c r="P38" s="52"/>
      <c r="Q38" s="7">
        <f t="shared" si="5"/>
        <v>0</v>
      </c>
    </row>
    <row r="39" spans="1:17" x14ac:dyDescent="0.25">
      <c r="A39" s="4">
        <v>37</v>
      </c>
      <c r="B39" s="4">
        <v>5200777132</v>
      </c>
      <c r="C39" s="16">
        <v>45880</v>
      </c>
      <c r="D39" s="4" t="s">
        <v>49</v>
      </c>
      <c r="E39" s="4">
        <v>1</v>
      </c>
      <c r="F39" s="6">
        <v>40457500</v>
      </c>
      <c r="G39" s="7">
        <f t="shared" si="23"/>
        <v>40457500</v>
      </c>
      <c r="H39" s="7">
        <f t="shared" si="24"/>
        <v>20228750</v>
      </c>
      <c r="I39" s="7">
        <f t="shared" si="22"/>
        <v>2629737.5</v>
      </c>
      <c r="J39" s="4"/>
      <c r="K39" s="4"/>
      <c r="L39" s="61">
        <v>1</v>
      </c>
      <c r="M39" s="65">
        <v>45960</v>
      </c>
      <c r="N39" s="64">
        <f t="shared" si="9"/>
        <v>2629737.5</v>
      </c>
      <c r="O39" s="4"/>
      <c r="P39" s="52"/>
      <c r="Q39" s="7">
        <f t="shared" si="5"/>
        <v>0</v>
      </c>
    </row>
    <row r="40" spans="1:17" x14ac:dyDescent="0.25">
      <c r="A40" s="4">
        <v>38</v>
      </c>
      <c r="B40" s="4">
        <v>5200777132</v>
      </c>
      <c r="C40" s="16">
        <v>45880</v>
      </c>
      <c r="D40" s="4" t="s">
        <v>49</v>
      </c>
      <c r="E40" s="4">
        <v>1</v>
      </c>
      <c r="F40" s="6">
        <v>40457500</v>
      </c>
      <c r="G40" s="7">
        <f t="shared" si="23"/>
        <v>40457500</v>
      </c>
      <c r="H40" s="7">
        <f t="shared" si="24"/>
        <v>20228750</v>
      </c>
      <c r="I40" s="7">
        <f t="shared" si="22"/>
        <v>2629737.5</v>
      </c>
      <c r="J40" s="4"/>
      <c r="K40" s="4"/>
      <c r="L40" s="61">
        <v>1</v>
      </c>
      <c r="M40" s="65">
        <v>45960</v>
      </c>
      <c r="N40" s="64">
        <f t="shared" si="9"/>
        <v>2629737.5</v>
      </c>
      <c r="O40" s="4"/>
      <c r="P40" s="52"/>
      <c r="Q40" s="7">
        <f t="shared" si="5"/>
        <v>0</v>
      </c>
    </row>
    <row r="41" spans="1:17" x14ac:dyDescent="0.25">
      <c r="A41" s="4">
        <v>39</v>
      </c>
      <c r="B41" s="4">
        <v>5200777132</v>
      </c>
      <c r="C41" s="16">
        <v>45880</v>
      </c>
      <c r="D41" s="4" t="s">
        <v>49</v>
      </c>
      <c r="E41" s="4">
        <v>1</v>
      </c>
      <c r="F41" s="6">
        <v>40457500</v>
      </c>
      <c r="G41" s="7">
        <f t="shared" si="23"/>
        <v>40457500</v>
      </c>
      <c r="H41" s="7">
        <f t="shared" si="24"/>
        <v>20228750</v>
      </c>
      <c r="I41" s="7">
        <f t="shared" si="22"/>
        <v>2629737.5</v>
      </c>
      <c r="J41" s="4"/>
      <c r="K41" s="4"/>
      <c r="L41" s="61">
        <v>1</v>
      </c>
      <c r="M41" s="65">
        <v>45960</v>
      </c>
      <c r="N41" s="64">
        <f t="shared" si="9"/>
        <v>2629737.5</v>
      </c>
      <c r="O41" s="4"/>
      <c r="P41" s="52"/>
      <c r="Q41" s="7">
        <f t="shared" si="5"/>
        <v>0</v>
      </c>
    </row>
    <row r="42" spans="1:17" x14ac:dyDescent="0.25">
      <c r="A42" s="4">
        <v>40</v>
      </c>
      <c r="B42" s="4">
        <v>5200777132</v>
      </c>
      <c r="C42" s="16">
        <v>45880</v>
      </c>
      <c r="D42" s="4" t="s">
        <v>49</v>
      </c>
      <c r="E42" s="4">
        <v>1</v>
      </c>
      <c r="F42" s="6">
        <v>40457500</v>
      </c>
      <c r="G42" s="7">
        <f t="shared" si="23"/>
        <v>40457500</v>
      </c>
      <c r="H42" s="7">
        <f t="shared" si="24"/>
        <v>20228750</v>
      </c>
      <c r="I42" s="7">
        <f t="shared" si="22"/>
        <v>2629737.5</v>
      </c>
      <c r="J42" s="4"/>
      <c r="K42" s="4"/>
      <c r="L42" s="61">
        <v>1</v>
      </c>
      <c r="M42" s="65">
        <v>45960</v>
      </c>
      <c r="N42" s="64">
        <f t="shared" si="9"/>
        <v>2629737.5</v>
      </c>
      <c r="O42" s="4"/>
      <c r="P42" s="52"/>
      <c r="Q42" s="7">
        <f t="shared" si="5"/>
        <v>0</v>
      </c>
    </row>
    <row r="43" spans="1:17" x14ac:dyDescent="0.25">
      <c r="A43" s="4">
        <v>41</v>
      </c>
      <c r="B43" s="4">
        <v>5200777132</v>
      </c>
      <c r="C43" s="16">
        <v>45880</v>
      </c>
      <c r="D43" s="4" t="s">
        <v>49</v>
      </c>
      <c r="E43" s="4">
        <v>1</v>
      </c>
      <c r="F43" s="6">
        <v>40457500</v>
      </c>
      <c r="G43" s="7">
        <f t="shared" si="23"/>
        <v>40457500</v>
      </c>
      <c r="H43" s="7">
        <f t="shared" si="24"/>
        <v>20228750</v>
      </c>
      <c r="I43" s="7">
        <f t="shared" si="22"/>
        <v>2629737.5</v>
      </c>
      <c r="J43" s="4"/>
      <c r="K43" s="4"/>
      <c r="L43" s="61">
        <v>1</v>
      </c>
      <c r="M43" s="65">
        <v>45960</v>
      </c>
      <c r="N43" s="64">
        <f t="shared" si="9"/>
        <v>2629737.5</v>
      </c>
      <c r="O43" s="4"/>
      <c r="P43" s="52"/>
      <c r="Q43" s="7">
        <f t="shared" si="5"/>
        <v>0</v>
      </c>
    </row>
    <row r="44" spans="1:17" ht="15.75" customHeight="1" x14ac:dyDescent="0.25">
      <c r="A44" s="4">
        <v>42</v>
      </c>
      <c r="B44" s="4">
        <v>5200777132</v>
      </c>
      <c r="C44" s="16">
        <v>45880</v>
      </c>
      <c r="D44" s="4" t="s">
        <v>49</v>
      </c>
      <c r="E44" s="4">
        <v>1</v>
      </c>
      <c r="F44" s="6">
        <v>40457500</v>
      </c>
      <c r="G44" s="7">
        <f t="shared" si="23"/>
        <v>40457500</v>
      </c>
      <c r="H44" s="7">
        <f t="shared" si="24"/>
        <v>20228750</v>
      </c>
      <c r="I44" s="7">
        <f t="shared" si="22"/>
        <v>2629737.5</v>
      </c>
      <c r="J44" s="4"/>
      <c r="K44" s="4"/>
      <c r="L44" s="61">
        <v>1</v>
      </c>
      <c r="M44" s="65">
        <v>45960</v>
      </c>
      <c r="N44" s="64">
        <f t="shared" si="9"/>
        <v>2629737.5</v>
      </c>
      <c r="O44" s="4"/>
      <c r="P44" s="52"/>
      <c r="Q44" s="7">
        <f t="shared" si="5"/>
        <v>0</v>
      </c>
    </row>
    <row r="45" spans="1:17" s="67" customFormat="1" x14ac:dyDescent="0.25">
      <c r="A45" s="61">
        <v>43</v>
      </c>
      <c r="B45" s="61">
        <v>5200972695</v>
      </c>
      <c r="C45" s="62">
        <v>45891</v>
      </c>
      <c r="D45" s="61" t="s">
        <v>60</v>
      </c>
      <c r="E45" s="61">
        <v>1</v>
      </c>
      <c r="F45" s="63">
        <v>100500000</v>
      </c>
      <c r="G45" s="64">
        <f t="shared" si="23"/>
        <v>100500000</v>
      </c>
      <c r="H45" s="64">
        <f t="shared" si="24"/>
        <v>50250000</v>
      </c>
      <c r="I45" s="64">
        <v>12750000</v>
      </c>
      <c r="J45" s="61"/>
      <c r="K45" s="61"/>
      <c r="L45" s="61">
        <v>1</v>
      </c>
      <c r="M45" s="65">
        <v>45925</v>
      </c>
      <c r="N45" s="64">
        <f t="shared" ref="N45:N61" si="25">I45*L45</f>
        <v>12750000</v>
      </c>
      <c r="O45" s="61"/>
      <c r="P45" s="66">
        <v>45962</v>
      </c>
      <c r="Q45" s="64">
        <f t="shared" si="5"/>
        <v>0</v>
      </c>
    </row>
    <row r="46" spans="1:17" s="67" customFormat="1" x14ac:dyDescent="0.25">
      <c r="A46" s="61"/>
      <c r="B46" s="61">
        <v>5200972695</v>
      </c>
      <c r="C46" s="62">
        <v>45891</v>
      </c>
      <c r="D46" s="61" t="s">
        <v>60</v>
      </c>
      <c r="E46" s="61">
        <v>1</v>
      </c>
      <c r="F46" s="63">
        <v>100500000</v>
      </c>
      <c r="G46" s="64">
        <f t="shared" ref="G46:G56" si="26">E46*F46</f>
        <v>100500000</v>
      </c>
      <c r="H46" s="64">
        <f t="shared" ref="H46:H56" si="27">G46*50%</f>
        <v>50250000</v>
      </c>
      <c r="I46" s="64">
        <v>12750000</v>
      </c>
      <c r="J46" s="61"/>
      <c r="K46" s="61"/>
      <c r="L46" s="61">
        <v>1</v>
      </c>
      <c r="M46" s="65">
        <v>45925</v>
      </c>
      <c r="N46" s="64">
        <f t="shared" si="25"/>
        <v>12750000</v>
      </c>
      <c r="O46" s="61"/>
      <c r="P46" s="66">
        <v>45962</v>
      </c>
      <c r="Q46" s="64">
        <f t="shared" si="5"/>
        <v>0</v>
      </c>
    </row>
    <row r="47" spans="1:17" s="67" customFormat="1" x14ac:dyDescent="0.25">
      <c r="A47" s="61"/>
      <c r="B47" s="61">
        <v>5200972695</v>
      </c>
      <c r="C47" s="62">
        <v>45891</v>
      </c>
      <c r="D47" s="61" t="s">
        <v>60</v>
      </c>
      <c r="E47" s="61">
        <v>1</v>
      </c>
      <c r="F47" s="63">
        <v>100500000</v>
      </c>
      <c r="G47" s="64">
        <f t="shared" si="26"/>
        <v>100500000</v>
      </c>
      <c r="H47" s="64">
        <f t="shared" si="27"/>
        <v>50250000</v>
      </c>
      <c r="I47" s="64">
        <v>12750000</v>
      </c>
      <c r="J47" s="61"/>
      <c r="K47" s="61"/>
      <c r="L47" s="61">
        <v>1</v>
      </c>
      <c r="M47" s="65">
        <v>45936</v>
      </c>
      <c r="N47" s="64">
        <f t="shared" si="25"/>
        <v>12750000</v>
      </c>
      <c r="O47" s="61"/>
      <c r="P47" s="66">
        <f>M47+37</f>
        <v>45973</v>
      </c>
      <c r="Q47" s="64">
        <f t="shared" si="5"/>
        <v>0</v>
      </c>
    </row>
    <row r="48" spans="1:17" s="67" customFormat="1" x14ac:dyDescent="0.25">
      <c r="A48" s="61"/>
      <c r="B48" s="61">
        <v>5200972695</v>
      </c>
      <c r="C48" s="62">
        <v>45891</v>
      </c>
      <c r="D48" s="61" t="s">
        <v>60</v>
      </c>
      <c r="E48" s="61">
        <v>1</v>
      </c>
      <c r="F48" s="63">
        <v>100500000</v>
      </c>
      <c r="G48" s="64">
        <f t="shared" si="26"/>
        <v>100500000</v>
      </c>
      <c r="H48" s="64">
        <f t="shared" si="27"/>
        <v>50250000</v>
      </c>
      <c r="I48" s="64">
        <v>12750000</v>
      </c>
      <c r="J48" s="61"/>
      <c r="K48" s="61"/>
      <c r="L48" s="61">
        <v>1</v>
      </c>
      <c r="M48" s="65">
        <v>45936</v>
      </c>
      <c r="N48" s="64">
        <f t="shared" si="25"/>
        <v>12750000</v>
      </c>
      <c r="O48" s="61"/>
      <c r="P48" s="66">
        <f t="shared" ref="P48:P52" si="28">M48+37</f>
        <v>45973</v>
      </c>
      <c r="Q48" s="64">
        <f t="shared" si="5"/>
        <v>0</v>
      </c>
    </row>
    <row r="49" spans="1:17" s="67" customFormat="1" x14ac:dyDescent="0.25">
      <c r="A49" s="61"/>
      <c r="B49" s="61">
        <v>5200972695</v>
      </c>
      <c r="C49" s="62">
        <v>45891</v>
      </c>
      <c r="D49" s="61" t="s">
        <v>60</v>
      </c>
      <c r="E49" s="61">
        <v>1</v>
      </c>
      <c r="F49" s="63">
        <v>100500000</v>
      </c>
      <c r="G49" s="64">
        <f t="shared" si="26"/>
        <v>100500000</v>
      </c>
      <c r="H49" s="64">
        <f t="shared" si="27"/>
        <v>50250000</v>
      </c>
      <c r="I49" s="64">
        <v>12750000</v>
      </c>
      <c r="J49" s="61"/>
      <c r="K49" s="61"/>
      <c r="L49" s="61">
        <v>1</v>
      </c>
      <c r="M49" s="65">
        <v>45936</v>
      </c>
      <c r="N49" s="64">
        <f t="shared" si="25"/>
        <v>12750000</v>
      </c>
      <c r="O49" s="61"/>
      <c r="P49" s="66">
        <f t="shared" si="28"/>
        <v>45973</v>
      </c>
      <c r="Q49" s="64">
        <f t="shared" si="5"/>
        <v>0</v>
      </c>
    </row>
    <row r="50" spans="1:17" s="67" customFormat="1" x14ac:dyDescent="0.25">
      <c r="A50" s="61"/>
      <c r="B50" s="61">
        <v>5200972695</v>
      </c>
      <c r="C50" s="62">
        <v>45891</v>
      </c>
      <c r="D50" s="61" t="s">
        <v>60</v>
      </c>
      <c r="E50" s="61">
        <v>1</v>
      </c>
      <c r="F50" s="63">
        <v>100500000</v>
      </c>
      <c r="G50" s="64">
        <f t="shared" si="26"/>
        <v>100500000</v>
      </c>
      <c r="H50" s="64">
        <f t="shared" si="27"/>
        <v>50250000</v>
      </c>
      <c r="I50" s="64">
        <v>12750000</v>
      </c>
      <c r="J50" s="61"/>
      <c r="K50" s="61"/>
      <c r="L50" s="61">
        <v>1</v>
      </c>
      <c r="M50" s="65">
        <v>45936</v>
      </c>
      <c r="N50" s="64">
        <f t="shared" si="25"/>
        <v>12750000</v>
      </c>
      <c r="O50" s="61"/>
      <c r="P50" s="66">
        <f t="shared" si="28"/>
        <v>45973</v>
      </c>
      <c r="Q50" s="64">
        <f t="shared" si="5"/>
        <v>0</v>
      </c>
    </row>
    <row r="51" spans="1:17" s="67" customFormat="1" x14ac:dyDescent="0.25">
      <c r="A51" s="61"/>
      <c r="B51" s="61">
        <v>5200972695</v>
      </c>
      <c r="C51" s="62">
        <v>45891</v>
      </c>
      <c r="D51" s="61" t="s">
        <v>60</v>
      </c>
      <c r="E51" s="61">
        <v>1</v>
      </c>
      <c r="F51" s="63">
        <v>100500000</v>
      </c>
      <c r="G51" s="64">
        <f t="shared" si="26"/>
        <v>100500000</v>
      </c>
      <c r="H51" s="64">
        <f t="shared" si="27"/>
        <v>50250000</v>
      </c>
      <c r="I51" s="64">
        <v>12750000</v>
      </c>
      <c r="J51" s="61"/>
      <c r="K51" s="61"/>
      <c r="L51" s="61">
        <v>1</v>
      </c>
      <c r="M51" s="65">
        <v>45936</v>
      </c>
      <c r="N51" s="64">
        <f t="shared" si="25"/>
        <v>12750000</v>
      </c>
      <c r="O51" s="61"/>
      <c r="P51" s="66">
        <f t="shared" si="28"/>
        <v>45973</v>
      </c>
      <c r="Q51" s="64">
        <f t="shared" si="5"/>
        <v>0</v>
      </c>
    </row>
    <row r="52" spans="1:17" s="67" customFormat="1" x14ac:dyDescent="0.25">
      <c r="A52" s="61"/>
      <c r="B52" s="61">
        <v>5200972695</v>
      </c>
      <c r="C52" s="62">
        <v>45891</v>
      </c>
      <c r="D52" s="61" t="s">
        <v>60</v>
      </c>
      <c r="E52" s="61">
        <v>1</v>
      </c>
      <c r="F52" s="63">
        <v>100500000</v>
      </c>
      <c r="G52" s="64">
        <f t="shared" si="26"/>
        <v>100500000</v>
      </c>
      <c r="H52" s="64">
        <f t="shared" si="27"/>
        <v>50250000</v>
      </c>
      <c r="I52" s="64">
        <v>12750000</v>
      </c>
      <c r="J52" s="61"/>
      <c r="K52" s="61"/>
      <c r="L52" s="61">
        <v>1</v>
      </c>
      <c r="M52" s="65">
        <v>45936</v>
      </c>
      <c r="N52" s="64">
        <f t="shared" si="25"/>
        <v>12750000</v>
      </c>
      <c r="O52" s="61"/>
      <c r="P52" s="66">
        <f t="shared" si="28"/>
        <v>45973</v>
      </c>
      <c r="Q52" s="64">
        <f t="shared" si="5"/>
        <v>0</v>
      </c>
    </row>
    <row r="53" spans="1:17" s="67" customFormat="1" x14ac:dyDescent="0.25">
      <c r="A53" s="61"/>
      <c r="B53" s="61">
        <v>5200777558</v>
      </c>
      <c r="C53" s="62">
        <v>45895</v>
      </c>
      <c r="D53" s="61" t="s">
        <v>61</v>
      </c>
      <c r="E53" s="61">
        <v>1</v>
      </c>
      <c r="F53" s="63">
        <v>685000000</v>
      </c>
      <c r="G53" s="64">
        <f t="shared" si="26"/>
        <v>685000000</v>
      </c>
      <c r="H53" s="64">
        <f t="shared" si="27"/>
        <v>342500000</v>
      </c>
      <c r="I53" s="64">
        <f t="shared" ref="I53:I56" si="29">H53*20%</f>
        <v>68500000</v>
      </c>
      <c r="J53" s="61"/>
      <c r="K53" s="61"/>
      <c r="L53" s="61">
        <v>1</v>
      </c>
      <c r="M53" s="65">
        <v>45923</v>
      </c>
      <c r="N53" s="64">
        <f t="shared" si="25"/>
        <v>68500000</v>
      </c>
      <c r="O53" s="61"/>
      <c r="P53" s="66">
        <v>45960</v>
      </c>
      <c r="Q53" s="64">
        <f t="shared" si="5"/>
        <v>0</v>
      </c>
    </row>
    <row r="54" spans="1:17" s="67" customFormat="1" x14ac:dyDescent="0.25">
      <c r="A54" s="61"/>
      <c r="B54" s="61">
        <v>5200777559</v>
      </c>
      <c r="C54" s="62">
        <v>45895</v>
      </c>
      <c r="D54" s="61" t="s">
        <v>3</v>
      </c>
      <c r="E54" s="61">
        <v>1</v>
      </c>
      <c r="F54" s="63">
        <v>225000000</v>
      </c>
      <c r="G54" s="64">
        <f t="shared" si="26"/>
        <v>225000000</v>
      </c>
      <c r="H54" s="64">
        <f t="shared" si="27"/>
        <v>112500000</v>
      </c>
      <c r="I54" s="64">
        <f t="shared" si="29"/>
        <v>22500000</v>
      </c>
      <c r="J54" s="61"/>
      <c r="K54" s="61"/>
      <c r="L54" s="61">
        <v>1</v>
      </c>
      <c r="M54" s="68">
        <v>45925</v>
      </c>
      <c r="N54" s="64">
        <f t="shared" si="25"/>
        <v>22500000</v>
      </c>
      <c r="O54" s="61"/>
      <c r="P54" s="66">
        <v>45960</v>
      </c>
      <c r="Q54" s="64">
        <f t="shared" si="5"/>
        <v>0</v>
      </c>
    </row>
    <row r="55" spans="1:17" s="67" customFormat="1" x14ac:dyDescent="0.25">
      <c r="A55" s="61"/>
      <c r="B55" s="61">
        <v>5200777559</v>
      </c>
      <c r="C55" s="62">
        <v>45895</v>
      </c>
      <c r="D55" s="61" t="s">
        <v>3</v>
      </c>
      <c r="E55" s="61">
        <v>1</v>
      </c>
      <c r="F55" s="63">
        <v>225000000</v>
      </c>
      <c r="G55" s="64">
        <f t="shared" si="26"/>
        <v>225000000</v>
      </c>
      <c r="H55" s="64">
        <f t="shared" si="27"/>
        <v>112500000</v>
      </c>
      <c r="I55" s="64">
        <f t="shared" si="29"/>
        <v>22500000</v>
      </c>
      <c r="J55" s="61"/>
      <c r="K55" s="61"/>
      <c r="L55" s="61">
        <v>1</v>
      </c>
      <c r="M55" s="68">
        <v>45925</v>
      </c>
      <c r="N55" s="64">
        <f t="shared" si="25"/>
        <v>22500000</v>
      </c>
      <c r="O55" s="61"/>
      <c r="P55" s="66">
        <v>45960</v>
      </c>
      <c r="Q55" s="64">
        <f t="shared" si="5"/>
        <v>0</v>
      </c>
    </row>
    <row r="56" spans="1:17" s="67" customFormat="1" x14ac:dyDescent="0.25">
      <c r="A56" s="61"/>
      <c r="B56" s="61">
        <v>5200777758</v>
      </c>
      <c r="C56" s="62">
        <v>45909</v>
      </c>
      <c r="D56" s="61" t="s">
        <v>64</v>
      </c>
      <c r="E56" s="61">
        <v>1</v>
      </c>
      <c r="F56" s="63">
        <v>2231048200</v>
      </c>
      <c r="G56" s="64">
        <f t="shared" si="26"/>
        <v>2231048200</v>
      </c>
      <c r="H56" s="64">
        <f t="shared" si="27"/>
        <v>1115524100</v>
      </c>
      <c r="I56" s="64">
        <f t="shared" si="29"/>
        <v>223104820</v>
      </c>
      <c r="J56" s="61"/>
      <c r="K56" s="61"/>
      <c r="L56" s="61">
        <v>1</v>
      </c>
      <c r="M56" s="68">
        <v>45930</v>
      </c>
      <c r="N56" s="64">
        <f t="shared" si="25"/>
        <v>223104820</v>
      </c>
      <c r="O56" s="61"/>
      <c r="P56" s="66">
        <v>45967</v>
      </c>
      <c r="Q56" s="64">
        <f t="shared" si="5"/>
        <v>0</v>
      </c>
    </row>
    <row r="57" spans="1:17" s="67" customFormat="1" x14ac:dyDescent="0.25">
      <c r="A57" s="61"/>
      <c r="B57" s="61">
        <v>5200778319</v>
      </c>
      <c r="C57" s="62">
        <v>45909</v>
      </c>
      <c r="D57" s="61" t="s">
        <v>3</v>
      </c>
      <c r="E57" s="61">
        <v>1</v>
      </c>
      <c r="F57" s="63">
        <v>225000000</v>
      </c>
      <c r="G57" s="64">
        <f t="shared" ref="G57:G59" si="30">E57*F57</f>
        <v>225000000</v>
      </c>
      <c r="H57" s="64">
        <f t="shared" ref="H57:H59" si="31">G57*50%</f>
        <v>112500000</v>
      </c>
      <c r="I57" s="64">
        <f t="shared" ref="I57:I58" si="32">H57*20%</f>
        <v>22500000</v>
      </c>
      <c r="J57" s="61"/>
      <c r="K57" s="61"/>
      <c r="L57" s="61">
        <v>1</v>
      </c>
      <c r="M57" s="68">
        <v>45940</v>
      </c>
      <c r="N57" s="64">
        <f t="shared" si="25"/>
        <v>22500000</v>
      </c>
      <c r="O57" s="61"/>
      <c r="P57" s="66">
        <f>M57+7+30</f>
        <v>45977</v>
      </c>
      <c r="Q57" s="64">
        <f t="shared" si="5"/>
        <v>0</v>
      </c>
    </row>
    <row r="58" spans="1:17" s="67" customFormat="1" x14ac:dyDescent="0.25">
      <c r="A58" s="61"/>
      <c r="B58" s="61">
        <v>5200778319</v>
      </c>
      <c r="C58" s="62">
        <v>45909</v>
      </c>
      <c r="D58" s="61" t="s">
        <v>3</v>
      </c>
      <c r="E58" s="61">
        <v>1</v>
      </c>
      <c r="F58" s="63">
        <v>225000000</v>
      </c>
      <c r="G58" s="64">
        <f t="shared" si="30"/>
        <v>225000000</v>
      </c>
      <c r="H58" s="64">
        <f t="shared" si="31"/>
        <v>112500000</v>
      </c>
      <c r="I58" s="64">
        <f t="shared" si="32"/>
        <v>22500000</v>
      </c>
      <c r="J58" s="61"/>
      <c r="K58" s="61"/>
      <c r="L58" s="61">
        <v>1</v>
      </c>
      <c r="M58" s="68">
        <v>45940</v>
      </c>
      <c r="N58" s="64">
        <f t="shared" si="25"/>
        <v>22500000</v>
      </c>
      <c r="O58" s="61"/>
      <c r="P58" s="66">
        <f t="shared" ref="P58:P59" si="33">M58+7+30</f>
        <v>45977</v>
      </c>
      <c r="Q58" s="64">
        <f t="shared" si="5"/>
        <v>0</v>
      </c>
    </row>
    <row r="59" spans="1:17" s="67" customFormat="1" x14ac:dyDescent="0.25">
      <c r="A59" s="61"/>
      <c r="B59" s="61" t="s">
        <v>68</v>
      </c>
      <c r="C59" s="62">
        <v>45915</v>
      </c>
      <c r="D59" s="61" t="s">
        <v>61</v>
      </c>
      <c r="E59" s="61">
        <v>1</v>
      </c>
      <c r="F59" s="63">
        <v>685000000</v>
      </c>
      <c r="G59" s="64">
        <f t="shared" si="30"/>
        <v>685000000</v>
      </c>
      <c r="H59" s="64">
        <f t="shared" si="31"/>
        <v>342500000</v>
      </c>
      <c r="I59" s="64">
        <f>(H59*20%)+66261000</f>
        <v>134761000</v>
      </c>
      <c r="J59" s="61"/>
      <c r="K59" s="61"/>
      <c r="L59" s="61">
        <v>1</v>
      </c>
      <c r="M59" s="68">
        <v>45940</v>
      </c>
      <c r="N59" s="64">
        <f t="shared" si="25"/>
        <v>134761000</v>
      </c>
      <c r="O59" s="61"/>
      <c r="P59" s="66">
        <f t="shared" si="33"/>
        <v>45977</v>
      </c>
      <c r="Q59" s="64">
        <f t="shared" si="5"/>
        <v>0</v>
      </c>
    </row>
    <row r="60" spans="1:17" x14ac:dyDescent="0.25">
      <c r="B60">
        <v>5200779815</v>
      </c>
      <c r="C60" s="15">
        <v>45967</v>
      </c>
      <c r="D60" s="4" t="s">
        <v>61</v>
      </c>
      <c r="E60" s="81">
        <v>1</v>
      </c>
      <c r="F60" s="78">
        <v>685000000</v>
      </c>
      <c r="G60" s="7">
        <f t="shared" ref="G60:G61" si="34">E60*F60</f>
        <v>685000000</v>
      </c>
      <c r="H60" s="7">
        <f t="shared" ref="H60:H61" si="35">G60*50%</f>
        <v>342500000</v>
      </c>
      <c r="I60" s="7">
        <f>(H60*20%)</f>
        <v>68500000</v>
      </c>
      <c r="J60" s="4"/>
      <c r="K60" s="4"/>
      <c r="N60" s="7">
        <f t="shared" si="25"/>
        <v>0</v>
      </c>
    </row>
    <row r="61" spans="1:17" x14ac:dyDescent="0.25">
      <c r="B61">
        <v>5200779579</v>
      </c>
      <c r="C61" s="15">
        <v>45960</v>
      </c>
      <c r="D61" t="s">
        <v>88</v>
      </c>
      <c r="E61" s="81">
        <v>1</v>
      </c>
      <c r="F61" s="82">
        <v>312000000</v>
      </c>
      <c r="G61" s="83">
        <f t="shared" si="34"/>
        <v>312000000</v>
      </c>
      <c r="H61" s="83">
        <f t="shared" si="35"/>
        <v>156000000</v>
      </c>
      <c r="I61" s="7">
        <f>(H61*20%)</f>
        <v>31200000</v>
      </c>
      <c r="N61" s="7">
        <f t="shared" si="25"/>
        <v>0</v>
      </c>
      <c r="O61" s="2">
        <f>SUM(O4:O60)</f>
        <v>0</v>
      </c>
    </row>
    <row r="62" spans="1:17" x14ac:dyDescent="0.25">
      <c r="C62" s="15"/>
    </row>
    <row r="63" spans="1:17" x14ac:dyDescent="0.25">
      <c r="C63" s="15"/>
    </row>
    <row r="64" spans="1:17" x14ac:dyDescent="0.25">
      <c r="C64" s="15"/>
    </row>
    <row r="65" spans="3:3" x14ac:dyDescent="0.25">
      <c r="C65" s="15"/>
    </row>
    <row r="66" spans="3:3" x14ac:dyDescent="0.25">
      <c r="C66" s="15"/>
    </row>
    <row r="67" spans="3:3" x14ac:dyDescent="0.25">
      <c r="C67" s="15"/>
    </row>
    <row r="68" spans="3:3" x14ac:dyDescent="0.25">
      <c r="C68" s="15"/>
    </row>
    <row r="69" spans="3:3" x14ac:dyDescent="0.25">
      <c r="C69" s="15"/>
    </row>
    <row r="70" spans="3:3" x14ac:dyDescent="0.25">
      <c r="C70" s="15"/>
    </row>
    <row r="71" spans="3:3" x14ac:dyDescent="0.25">
      <c r="C71" s="15"/>
    </row>
    <row r="72" spans="3:3" x14ac:dyDescent="0.25">
      <c r="C72" s="15"/>
    </row>
    <row r="73" spans="3:3" x14ac:dyDescent="0.25">
      <c r="C73" s="15"/>
    </row>
    <row r="74" spans="3:3" x14ac:dyDescent="0.25">
      <c r="C74" s="15"/>
    </row>
    <row r="75" spans="3:3" x14ac:dyDescent="0.25">
      <c r="C75" s="15"/>
    </row>
    <row r="76" spans="3:3" x14ac:dyDescent="0.25">
      <c r="C76" s="15"/>
    </row>
    <row r="77" spans="3:3" x14ac:dyDescent="0.25">
      <c r="C77" s="15"/>
    </row>
    <row r="78" spans="3:3" x14ac:dyDescent="0.25">
      <c r="C78" s="15"/>
    </row>
    <row r="79" spans="3:3" x14ac:dyDescent="0.25">
      <c r="C79" s="15"/>
    </row>
    <row r="80" spans="3:3" x14ac:dyDescent="0.25">
      <c r="C80" s="15"/>
    </row>
    <row r="81" spans="3:3" x14ac:dyDescent="0.25">
      <c r="C81" s="15"/>
    </row>
    <row r="82" spans="3:3" x14ac:dyDescent="0.25">
      <c r="C82" s="15"/>
    </row>
    <row r="83" spans="3:3" x14ac:dyDescent="0.25">
      <c r="C83" s="15"/>
    </row>
    <row r="84" spans="3:3" x14ac:dyDescent="0.25">
      <c r="C84" s="15"/>
    </row>
    <row r="85" spans="3:3" x14ac:dyDescent="0.25">
      <c r="C85" s="15"/>
    </row>
    <row r="86" spans="3:3" x14ac:dyDescent="0.25">
      <c r="C86" s="15"/>
    </row>
    <row r="87" spans="3:3" x14ac:dyDescent="0.25">
      <c r="C87" s="15"/>
    </row>
    <row r="88" spans="3:3" x14ac:dyDescent="0.25">
      <c r="C88" s="15"/>
    </row>
    <row r="89" spans="3:3" x14ac:dyDescent="0.25">
      <c r="C89" s="15"/>
    </row>
    <row r="90" spans="3:3" x14ac:dyDescent="0.25">
      <c r="C90" s="15"/>
    </row>
    <row r="91" spans="3:3" x14ac:dyDescent="0.25">
      <c r="C91" s="1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 (2)</vt:lpstr>
      <vt:lpstr>Asumsi Summary V.4 (3)</vt:lpstr>
      <vt:lpstr>Summary V.4 (6)</vt:lpstr>
      <vt:lpstr>Summary V.4 (5)</vt:lpstr>
      <vt:lpstr>Summary V.4 (4)</vt:lpstr>
      <vt:lpstr>Summary V.4 (PO833)</vt:lpstr>
      <vt:lpstr>Sheet2</vt:lpstr>
      <vt:lpstr>Summary V.4 (2) 2  (2)</vt:lpstr>
      <vt:lpstr>Summary V.4 (2) 2 </vt:lpstr>
      <vt:lpstr>Summary V.4 (2)</vt:lpstr>
      <vt:lpstr>Summary V.4</vt:lpstr>
      <vt:lpstr>Summary V.2 (2)</vt:lpstr>
      <vt:lpstr>Summary V.3</vt:lpstr>
      <vt:lpstr>Summary V.2</vt:lpstr>
      <vt:lpstr>Summary V.1</vt:lpstr>
      <vt:lpstr>Modal Des</vt:lpstr>
      <vt:lpstr>investasi</vt:lpstr>
      <vt:lpstr>Pivot v.1</vt:lpstr>
      <vt:lpstr>Sheet1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Tengku Irsyad Muhammad Zaki</cp:lastModifiedBy>
  <dcterms:created xsi:type="dcterms:W3CDTF">2025-08-04T01:30:26Z</dcterms:created>
  <dcterms:modified xsi:type="dcterms:W3CDTF">2026-02-14T16:38:23Z</dcterms:modified>
</cp:coreProperties>
</file>